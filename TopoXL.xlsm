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topoXL/"/>
    </mc:Choice>
  </mc:AlternateContent>
  <xr:revisionPtr revIDLastSave="256" documentId="13_ncr:1_{86854BF5-C54A-4C5C-BAAE-0B47BB518FF6}" xr6:coauthVersionLast="46" xr6:coauthVersionMax="46" xr10:uidLastSave="{1115CBAE-DC96-448F-BD4C-3D68EB4429E1}"/>
  <bookViews>
    <workbookView xWindow="28680" yWindow="-120" windowWidth="29040" windowHeight="15840" firstSheet="1" activeTab="2" xr2:uid="{DF8851B5-77E7-48E8-9AB3-42D76A131177}"/>
  </bookViews>
  <sheets>
    <sheet name="dvCLtbl" sheetId="2" state="hidden" r:id="rId1"/>
    <sheet name="demo_tblCL" sheetId="4" r:id="rId2"/>
    <sheet name="demo_UDF_CL" sheetId="5" r:id="rId3"/>
    <sheet name="demo_UDF_CG" sheetId="7" r:id="rId4"/>
    <sheet name="demo_UDF_ACADscr" sheetId="6" r:id="rId5"/>
  </sheets>
  <functionGroups builtInGroupCount="19"/>
  <definedNames>
    <definedName name="DefiningElementsShort" localSheetId="3">tblDefElemShort[#Data]</definedName>
    <definedName name="DefiningElementsShort">tblDefElemShort[#Data]</definedName>
    <definedName name="dvCurveDir" localSheetId="3">tblCurveDirection[CurveDirection]</definedName>
    <definedName name="dvCurveDir">tblCurveDirection[CurveDirection]</definedName>
    <definedName name="dvElemType" localSheetId="3">tblElementType[Element type]</definedName>
    <definedName name="dvElemType">tblElementType[Element type]</definedName>
    <definedName name="dvReversed" localSheetId="3">tblReversed[Reversed]</definedName>
    <definedName name="dvReversed">tblReversed[Reversed]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" i="7" l="1"/>
  <c r="C28" i="7"/>
  <c r="F27" i="7"/>
  <c r="C5" i="5" a="1"/>
  <c r="J38" i="7" a="1"/>
  <c r="I10" i="6"/>
  <c r="J37" i="7" a="1"/>
  <c r="I17" i="6"/>
  <c r="J42" i="7" a="1"/>
  <c r="L25" i="7" a="1"/>
  <c r="J41" i="7" a="1"/>
  <c r="I21" i="6"/>
  <c r="J35" i="7" a="1"/>
  <c r="I7" i="6" a="1"/>
  <c r="I26" i="6"/>
  <c r="I24" i="6"/>
  <c r="I14" i="6"/>
  <c r="I15" i="6"/>
  <c r="J34" i="7" a="1"/>
  <c r="I23" i="6"/>
  <c r="M44" i="7"/>
  <c r="I5" i="6"/>
  <c r="J39" i="7" a="1"/>
  <c r="L31" i="7" a="1"/>
  <c r="L32" i="7" a="1"/>
  <c r="L29" i="7" a="1"/>
  <c r="L28" i="7" a="1"/>
  <c r="L48" i="7" a="1"/>
  <c r="L24" i="7" a="1"/>
  <c r="I8" i="6" a="1"/>
  <c r="L27" i="7" a="1"/>
  <c r="I9" i="6"/>
  <c r="I11" i="6" a="1"/>
  <c r="I6" i="6"/>
  <c r="I18" i="6"/>
  <c r="I20" i="6"/>
  <c r="J36" i="7" a="1"/>
  <c r="I12" i="6" a="1"/>
  <c r="C5" i="5" l="1"/>
  <c r="D5" i="5"/>
  <c r="I11" i="6"/>
  <c r="M27" i="7"/>
  <c r="L27" i="7"/>
  <c r="L28" i="7"/>
  <c r="M28" i="7"/>
  <c r="I7" i="6"/>
  <c r="I8" i="6"/>
  <c r="J34" i="7"/>
  <c r="L34" i="7"/>
  <c r="K34" i="7"/>
  <c r="M34" i="7"/>
  <c r="I12" i="6"/>
  <c r="J37" i="7"/>
  <c r="K37" i="7"/>
  <c r="L37" i="7"/>
  <c r="M37" i="7"/>
  <c r="M38" i="7"/>
  <c r="K38" i="7"/>
  <c r="J38" i="7"/>
  <c r="L38" i="7"/>
  <c r="M48" i="7"/>
  <c r="L49" i="7"/>
  <c r="M49" i="7"/>
  <c r="L48" i="7"/>
  <c r="L29" i="7"/>
  <c r="M29" i="7"/>
  <c r="K42" i="7"/>
  <c r="J42" i="7"/>
  <c r="M42" i="7"/>
  <c r="L42" i="7"/>
  <c r="J41" i="7"/>
  <c r="K41" i="7"/>
  <c r="M41" i="7"/>
  <c r="L41" i="7"/>
  <c r="L39" i="7"/>
  <c r="J39" i="7"/>
  <c r="M39" i="7"/>
  <c r="K39" i="7"/>
  <c r="M36" i="7"/>
  <c r="J36" i="7"/>
  <c r="L36" i="7"/>
  <c r="K36" i="7"/>
  <c r="J35" i="7"/>
  <c r="M35" i="7"/>
  <c r="K35" i="7"/>
  <c r="L35" i="7"/>
  <c r="L32" i="7"/>
  <c r="M32" i="7"/>
  <c r="L31" i="7"/>
  <c r="M31" i="7"/>
  <c r="L25" i="7"/>
  <c r="M25" i="7"/>
  <c r="L24" i="7"/>
  <c r="M24" i="7"/>
  <c r="M13" i="7"/>
  <c r="C18" i="5" a="1"/>
  <c r="B38" i="5"/>
  <c r="M11" i="7"/>
  <c r="C6" i="5" a="1"/>
  <c r="C10" i="5" a="1"/>
  <c r="M15" i="7"/>
  <c r="B35" i="5"/>
  <c r="M14" i="7"/>
  <c r="C19" i="5" a="1"/>
  <c r="C12" i="5" a="1"/>
  <c r="B33" i="5"/>
  <c r="B36" i="5"/>
  <c r="M22" i="7"/>
  <c r="C16" i="5" a="1"/>
  <c r="C8" i="5" a="1"/>
  <c r="M21" i="7"/>
  <c r="B31" i="5"/>
  <c r="B34" i="5"/>
  <c r="C13" i="5" a="1"/>
  <c r="B29" i="5"/>
  <c r="M19" i="7"/>
  <c r="C9" i="5" a="1"/>
  <c r="B39" i="5"/>
  <c r="C11" i="5" a="1"/>
  <c r="M16" i="7"/>
  <c r="B28" i="5"/>
  <c r="M6" i="7"/>
  <c r="B32" i="5"/>
  <c r="M9" i="7"/>
  <c r="M20" i="7"/>
  <c r="M8" i="7"/>
  <c r="B27" i="5"/>
  <c r="C7" i="5" a="1"/>
  <c r="M7" i="7"/>
  <c r="C17" i="5" a="1"/>
  <c r="C14" i="5" a="1"/>
  <c r="B37" i="5"/>
  <c r="B30" i="5"/>
  <c r="M17" i="7"/>
  <c r="C15" i="5" a="1"/>
  <c r="M5" i="7"/>
  <c r="B26" i="5"/>
  <c r="D15" i="5" l="1"/>
  <c r="C15" i="5"/>
  <c r="D19" i="5"/>
  <c r="C19" i="5"/>
  <c r="D6" i="5"/>
  <c r="C6" i="5"/>
  <c r="D17" i="5"/>
  <c r="C17" i="5"/>
  <c r="D7" i="5"/>
  <c r="C7" i="5"/>
  <c r="C9" i="5"/>
  <c r="D9" i="5"/>
  <c r="D10" i="5"/>
  <c r="C10" i="5"/>
  <c r="C13" i="5"/>
  <c r="D13" i="5"/>
  <c r="D18" i="5"/>
  <c r="C18" i="5"/>
  <c r="C8" i="5"/>
  <c r="D8" i="5"/>
  <c r="C11" i="5"/>
  <c r="D11" i="5"/>
  <c r="C16" i="5"/>
  <c r="D16" i="5"/>
  <c r="C14" i="5"/>
  <c r="D14" i="5"/>
  <c r="D12" i="5"/>
  <c r="C12" i="5"/>
  <c r="E16" i="5" a="1"/>
  <c r="E18" i="5" a="1"/>
  <c r="E6" i="5" a="1"/>
  <c r="E17" i="5" a="1"/>
  <c r="E15" i="5" a="1"/>
  <c r="E13" i="5" a="1"/>
  <c r="E7" i="5" a="1"/>
  <c r="E8" i="5" a="1"/>
  <c r="E19" i="5" a="1"/>
  <c r="E12" i="5" a="1"/>
  <c r="E9" i="5" a="1"/>
  <c r="E11" i="5" a="1"/>
  <c r="E10" i="5" a="1"/>
  <c r="E14" i="5" a="1"/>
  <c r="E5" i="5" a="1"/>
  <c r="F6" i="5" l="1"/>
  <c r="E6" i="5"/>
  <c r="F12" i="5"/>
  <c r="E12" i="5"/>
  <c r="F14" i="5"/>
  <c r="E14" i="5"/>
  <c r="F10" i="5"/>
  <c r="E10" i="5"/>
  <c r="E8" i="5"/>
  <c r="F8" i="5"/>
  <c r="F9" i="5"/>
  <c r="E9" i="5"/>
  <c r="F19" i="5"/>
  <c r="E19" i="5"/>
  <c r="F11" i="5"/>
  <c r="E11" i="5"/>
  <c r="E5" i="5"/>
  <c r="F5" i="5"/>
  <c r="E16" i="5"/>
  <c r="F16" i="5"/>
  <c r="E18" i="5"/>
  <c r="F18" i="5"/>
  <c r="E7" i="5"/>
  <c r="F7" i="5"/>
  <c r="F13" i="5"/>
  <c r="E13" i="5"/>
  <c r="E15" i="5"/>
  <c r="F15" i="5"/>
  <c r="F17" i="5"/>
  <c r="E17" i="5"/>
</calcChain>
</file>

<file path=xl/sharedStrings.xml><?xml version="1.0" encoding="utf-8"?>
<sst xmlns="http://schemas.openxmlformats.org/spreadsheetml/2006/main" count="334" uniqueCount="137">
  <si>
    <t>Element type</t>
  </si>
  <si>
    <t>Line input type</t>
  </si>
  <si>
    <t>Input Description</t>
  </si>
  <si>
    <t>Defining element</t>
  </si>
  <si>
    <t>Shortening</t>
  </si>
  <si>
    <t>Spiral Type</t>
  </si>
  <si>
    <t>Coo Peak X</t>
  </si>
  <si>
    <t>Peak</t>
  </si>
  <si>
    <t>Coo Peak Y</t>
  </si>
  <si>
    <t>Length</t>
  </si>
  <si>
    <t>Radius</t>
  </si>
  <si>
    <t>Type</t>
  </si>
  <si>
    <t>SE</t>
  </si>
  <si>
    <t>SCLD</t>
  </si>
  <si>
    <t>SERD</t>
  </si>
  <si>
    <t>StartX</t>
  </si>
  <si>
    <t>StartY</t>
  </si>
  <si>
    <t>EndX</t>
  </si>
  <si>
    <t>EndY</t>
  </si>
  <si>
    <t>CenterX</t>
  </si>
  <si>
    <t>CenterY</t>
  </si>
  <si>
    <t>Measure</t>
  </si>
  <si>
    <t>L</t>
  </si>
  <si>
    <t>R</t>
  </si>
  <si>
    <t>D</t>
  </si>
  <si>
    <t>M</t>
  </si>
  <si>
    <t>S</t>
  </si>
  <si>
    <t>E</t>
  </si>
  <si>
    <t>C</t>
  </si>
  <si>
    <t>CircularArc</t>
  </si>
  <si>
    <t>LineSegment</t>
  </si>
  <si>
    <t>GeomType</t>
  </si>
  <si>
    <t>InitType</t>
  </si>
  <si>
    <t>CurveDirection</t>
  </si>
  <si>
    <t>ClothoidArc</t>
  </si>
  <si>
    <t>SLRDT</t>
  </si>
  <si>
    <t>Start, Center, Length, Curve Direction</t>
  </si>
  <si>
    <t>Start, End, Radius, Curve Direction</t>
  </si>
  <si>
    <t>Start, Length, Radius, Curve Direction, Start Theta</t>
  </si>
  <si>
    <t>CW</t>
  </si>
  <si>
    <t>CCW</t>
  </si>
  <si>
    <t>Theta</t>
  </si>
  <si>
    <t>T</t>
  </si>
  <si>
    <t>StartTheta</t>
  </si>
  <si>
    <t>Reversed</t>
  </si>
  <si>
    <t/>
  </si>
  <si>
    <t>Demo CL init tables</t>
  </si>
  <si>
    <t>Data validation info used for Center Line tables</t>
  </si>
  <si>
    <t>tblCLplan</t>
  </si>
  <si>
    <t>Demo CL plan</t>
  </si>
  <si>
    <t>Input</t>
  </si>
  <si>
    <t>Offset</t>
  </si>
  <si>
    <t>Formulae</t>
  </si>
  <si>
    <t>clPntByMeasOffset</t>
  </si>
  <si>
    <t>clMeasOffsetOfPnt</t>
  </si>
  <si>
    <t>Demo CL elevation</t>
  </si>
  <si>
    <t>tblCLelevation</t>
  </si>
  <si>
    <t>clYatX</t>
  </si>
  <si>
    <t>X</t>
  </si>
  <si>
    <t>Y</t>
  </si>
  <si>
    <t>Demo ACADscr</t>
  </si>
  <si>
    <t>Function Info</t>
  </si>
  <si>
    <t>Z</t>
  </si>
  <si>
    <t>acadScrPnt for 2D points from Range</t>
  </si>
  <si>
    <t>acadScrPnt for 3D points from Range</t>
  </si>
  <si>
    <t>acadScrPnt for 2D points from Array</t>
  </si>
  <si>
    <t>acadScrPnt for 3D points from Array</t>
  </si>
  <si>
    <t>Block Name</t>
  </si>
  <si>
    <t>BlockA</t>
  </si>
  <si>
    <t>X Scale</t>
  </si>
  <si>
    <t>Y Scale</t>
  </si>
  <si>
    <t>Rotation</t>
  </si>
  <si>
    <t>BlockB</t>
  </si>
  <si>
    <t>acadScrInsBl 2D one block</t>
  </si>
  <si>
    <t>acadScrInsBl 2D multiple blocks</t>
  </si>
  <si>
    <t>acadScrInsBl 3D multiple blocks</t>
  </si>
  <si>
    <t>acadScrInsBl 3D one block</t>
  </si>
  <si>
    <t>acadScrPLine 2D from Range</t>
  </si>
  <si>
    <t>acadScrPLine 3D from Range</t>
  </si>
  <si>
    <t>acadScrPLine 2D from Array</t>
  </si>
  <si>
    <t>acadScrPLine 3D from Array</t>
  </si>
  <si>
    <t>Height</t>
  </si>
  <si>
    <t>Text</t>
  </si>
  <si>
    <t>Sample</t>
  </si>
  <si>
    <t>acadScrSText 2D one text</t>
  </si>
  <si>
    <t>acadScrSText 2D multiple texts</t>
  </si>
  <si>
    <t>acadScrSText 3D one text</t>
  </si>
  <si>
    <t>acadScrSText 3D multiple texts</t>
  </si>
  <si>
    <t>Layer Name</t>
  </si>
  <si>
    <t>test_layer</t>
  </si>
  <si>
    <t>Demo CG</t>
  </si>
  <si>
    <t>X1</t>
  </si>
  <si>
    <t>Y1</t>
  </si>
  <si>
    <t>X2</t>
  </si>
  <si>
    <t>Y2</t>
  </si>
  <si>
    <t>cgDist2D</t>
  </si>
  <si>
    <t>Z1</t>
  </si>
  <si>
    <t>Z2</t>
  </si>
  <si>
    <t>cgTheta of positive Ox</t>
  </si>
  <si>
    <t>cgTheta of negative Ox</t>
  </si>
  <si>
    <t>cgTheta of positive Oy</t>
  </si>
  <si>
    <t>cgTheta of negative Oy</t>
  </si>
  <si>
    <t>cgDist3D</t>
  </si>
  <si>
    <t>cgSide on segment (double tollerance)</t>
  </si>
  <si>
    <t>cgSide on line segment</t>
  </si>
  <si>
    <t>cgSide on line segment extension</t>
  </si>
  <si>
    <t>cgSide on the left ofline segment</t>
  </si>
  <si>
    <t>cgSide on the right ofline segment</t>
  </si>
  <si>
    <t>cgCooInBB inside</t>
  </si>
  <si>
    <t>cgCooInBB outside</t>
  </si>
  <si>
    <t>X3</t>
  </si>
  <si>
    <t>Y3</t>
  </si>
  <si>
    <t>X4</t>
  </si>
  <si>
    <t>Y4</t>
  </si>
  <si>
    <t>cgIntLSbyCoo valid intersection</t>
  </si>
  <si>
    <t>cgIntLSbyCoo no intersection</t>
  </si>
  <si>
    <t>T1</t>
  </si>
  <si>
    <t>T2</t>
  </si>
  <si>
    <t>cgIntLbyThAndCoo valid intersection</t>
  </si>
  <si>
    <t>cgIntLbyThAndCoo no intersection</t>
  </si>
  <si>
    <t>dX1</t>
  </si>
  <si>
    <t>dY1</t>
  </si>
  <si>
    <t>dX2</t>
  </si>
  <si>
    <t>dY2</t>
  </si>
  <si>
    <t>cgIntLbyCooAndDs valid intersection</t>
  </si>
  <si>
    <t>cgIntLbyCooAndDs no intersection</t>
  </si>
  <si>
    <t>Part</t>
  </si>
  <si>
    <t>cgExtTrimLS extend at end</t>
  </si>
  <si>
    <t>cgExtTrimLS trim at end</t>
  </si>
  <si>
    <t>cgExtTrimLS extend at start</t>
  </si>
  <si>
    <t>cgExtTrimLS trim at start</t>
  </si>
  <si>
    <t>cgExtTrimLS extend both endds</t>
  </si>
  <si>
    <t>cgExtTrimLS trim both endds</t>
  </si>
  <si>
    <t>cgOffsetLS offest right</t>
  </si>
  <si>
    <t>cgOffsetLS offest left</t>
  </si>
  <si>
    <t>cgAreaByCoo</t>
  </si>
  <si>
    <t>cgIntPLbyCoo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</si>
</sst>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\+000.000"/>
    <numFmt numFmtId="167" formatCode="0.00000000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 wrapText="1"/>
    </xf>
    <xf numFmtId="165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left" vertical="center" wrapText="1"/>
    </xf>
    <xf numFmtId="167" fontId="1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165" fontId="2" fillId="0" borderId="0" xfId="0" applyNumberFormat="1" applyFont="1" applyAlignment="1">
      <alignment horizontal="right" vertical="center" wrapText="1"/>
    </xf>
    <xf numFmtId="165" fontId="2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center" vertical="top" wrapText="1"/>
    </xf>
    <xf numFmtId="165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66" fontId="1" fillId="0" borderId="0" xfId="0" applyNumberFormat="1" applyFont="1" applyAlignment="1">
      <alignment horizontal="center" vertical="top" wrapText="1"/>
    </xf>
    <xf numFmtId="0" fontId="0" fillId="0" borderId="0" xfId="0" applyAlignment="1">
      <alignment horizontal="left"/>
    </xf>
    <xf numFmtId="0" fontId="1" fillId="0" borderId="0" xfId="0" applyNumberFormat="1" applyFont="1" applyAlignment="1">
      <alignment horizontal="right" vertical="center" wrapText="1"/>
    </xf>
    <xf numFmtId="0" fontId="2" fillId="0" borderId="0" xfId="0" applyNumberFormat="1" applyFont="1" applyAlignment="1">
      <alignment horizontal="right" vertical="center" wrapText="1"/>
    </xf>
    <xf numFmtId="0" fontId="3" fillId="0" borderId="0" xfId="0" applyFont="1"/>
    <xf numFmtId="164" fontId="0" fillId="0" borderId="4" xfId="0" applyNumberFormat="1" applyBorder="1"/>
    <xf numFmtId="164" fontId="0" fillId="0" borderId="6" xfId="0" applyNumberFormat="1" applyBorder="1"/>
    <xf numFmtId="0" fontId="7" fillId="0" borderId="2" xfId="0" applyFont="1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Continuous"/>
    </xf>
    <xf numFmtId="0" fontId="4" fillId="0" borderId="10" xfId="0" applyFont="1" applyBorder="1" applyAlignment="1">
      <alignment horizontal="centerContinuous"/>
    </xf>
    <xf numFmtId="164" fontId="0" fillId="0" borderId="5" xfId="0" applyNumberFormat="1" applyBorder="1"/>
    <xf numFmtId="164" fontId="0" fillId="0" borderId="7" xfId="0" applyNumberFormat="1" applyBorder="1"/>
    <xf numFmtId="0" fontId="5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4" fillId="0" borderId="1" xfId="0" applyFont="1" applyBorder="1" applyAlignment="1">
      <alignment horizontal="centerContinuous"/>
    </xf>
    <xf numFmtId="164" fontId="0" fillId="0" borderId="12" xfId="0" applyNumberFormat="1" applyBorder="1"/>
    <xf numFmtId="164" fontId="0" fillId="0" borderId="13" xfId="0" applyNumberFormat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14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7" fillId="0" borderId="3" xfId="0" applyFont="1" applyBorder="1" applyAlignment="1">
      <alignment horizontal="center" vertical="center"/>
    </xf>
    <xf numFmtId="0" fontId="0" fillId="0" borderId="8" xfId="0" applyBorder="1"/>
    <xf numFmtId="0" fontId="0" fillId="0" borderId="2" xfId="0" applyBorder="1"/>
    <xf numFmtId="0" fontId="0" fillId="0" borderId="3" xfId="0" applyBorder="1"/>
    <xf numFmtId="0" fontId="6" fillId="0" borderId="3" xfId="0" applyFont="1" applyBorder="1" applyAlignment="1">
      <alignment horizontal="centerContinuous"/>
    </xf>
    <xf numFmtId="0" fontId="4" fillId="0" borderId="9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0" xfId="0" applyBorder="1"/>
    <xf numFmtId="0" fontId="0" fillId="0" borderId="0" xfId="0" applyFill="1" applyBorder="1"/>
    <xf numFmtId="0" fontId="0" fillId="0" borderId="8" xfId="0" applyFill="1" applyBorder="1"/>
    <xf numFmtId="0" fontId="0" fillId="0" borderId="14" xfId="0" applyFill="1" applyBorder="1"/>
    <xf numFmtId="0" fontId="4" fillId="0" borderId="15" xfId="0" applyFont="1" applyFill="1" applyBorder="1" applyAlignment="1">
      <alignment horizontal="center" vertical="center" wrapText="1"/>
    </xf>
    <xf numFmtId="0" fontId="0" fillId="0" borderId="9" xfId="0" applyBorder="1"/>
    <xf numFmtId="0" fontId="4" fillId="0" borderId="10" xfId="0" applyFont="1" applyFill="1" applyBorder="1" applyAlignment="1">
      <alignment horizontal="center" vertical="center" wrapText="1"/>
    </xf>
    <xf numFmtId="0" fontId="0" fillId="0" borderId="11" xfId="0" applyFill="1" applyBorder="1"/>
    <xf numFmtId="0" fontId="0" fillId="0" borderId="1" xfId="0" applyBorder="1"/>
    <xf numFmtId="0" fontId="0" fillId="0" borderId="12" xfId="0" applyFill="1" applyBorder="1"/>
    <xf numFmtId="0" fontId="0" fillId="0" borderId="13" xfId="0" applyFill="1" applyBorder="1"/>
    <xf numFmtId="0" fontId="7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Continuous"/>
    </xf>
    <xf numFmtId="0" fontId="7" fillId="0" borderId="1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4" fillId="0" borderId="15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0" fillId="0" borderId="3" xfId="0" applyFill="1" applyBorder="1"/>
    <xf numFmtId="0" fontId="4" fillId="0" borderId="8" xfId="0" applyFont="1" applyFill="1" applyBorder="1" applyAlignment="1">
      <alignment horizontal="center"/>
    </xf>
    <xf numFmtId="11" fontId="0" fillId="0" borderId="5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7" fillId="0" borderId="9" xfId="0" applyFont="1" applyBorder="1" applyAlignment="1">
      <alignment vertical="center"/>
    </xf>
    <xf numFmtId="0" fontId="0" fillId="0" borderId="2" xfId="0" applyFill="1" applyBorder="1"/>
    <xf numFmtId="11" fontId="0" fillId="0" borderId="4" xfId="0" applyNumberFormat="1" applyFill="1" applyBorder="1"/>
    <xf numFmtId="0" fontId="0" fillId="0" borderId="4" xfId="0" applyFill="1" applyBorder="1"/>
    <xf numFmtId="0" fontId="4" fillId="0" borderId="9" xfId="0" applyFont="1" applyFill="1" applyBorder="1" applyAlignment="1">
      <alignment horizontal="center"/>
    </xf>
    <xf numFmtId="0" fontId="0" fillId="0" borderId="6" xfId="0" applyFill="1" applyBorder="1"/>
    <xf numFmtId="0" fontId="7" fillId="0" borderId="15" xfId="0" applyFont="1" applyBorder="1" applyAlignment="1">
      <alignment vertical="center"/>
    </xf>
    <xf numFmtId="0" fontId="0" fillId="0" borderId="11" xfId="0" applyBorder="1"/>
    <xf numFmtId="0" fontId="7" fillId="0" borderId="9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1">
    <cellStyle name="Normal" xfId="0" builtinId="0"/>
  </cellStyles>
  <dxfs count="59"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0.0000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000"/>
      <alignment horizontal="righ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63AF86-1CC1-4879-ABB3-7168F6F50A48}" name="tblInputType" displayName="tblInputType" ref="A2:C6" totalsRowShown="0">
  <autoFilter ref="A2:C6" xr:uid="{6A383EF0-0176-4FDF-B020-B6A5ACF608C1}"/>
  <sortState xmlns:xlrd2="http://schemas.microsoft.com/office/spreadsheetml/2017/richdata2" ref="A3:C6">
    <sortCondition ref="A2:A6"/>
  </sortState>
  <tableColumns count="3">
    <tableColumn id="1" xr3:uid="{8FE765BB-B61D-45AE-A243-A5B8DAFB9084}" name="Element type"/>
    <tableColumn id="3" xr3:uid="{EA820442-9CB1-4D47-9283-34B98C41A3BB}" name="Line input type"/>
    <tableColumn id="2" xr3:uid="{03B78649-6127-412E-8B84-F4F8B77921F3}" name="Input Description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FA4E51-CD69-42E4-8599-D268805E3EF2}" name="tblElementType" displayName="tblElementType" ref="E2:E5" totalsRowShown="0">
  <autoFilter ref="E2:E5" xr:uid="{414626AA-2E6E-4251-B2B6-689781051A0C}"/>
  <tableColumns count="1">
    <tableColumn id="1" xr3:uid="{2B83ED87-AB17-4F20-B375-6F356410619C}" name="Element type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2833CC-C1D6-49F7-86D1-D633B549A042}" name="tblDefElemShort" displayName="tblDefElemShort" ref="G2:H16" totalsRowShown="0">
  <autoFilter ref="G2:H16" xr:uid="{3BC0F3ED-F790-4FB3-A79E-AC172D40C13C}"/>
  <tableColumns count="2">
    <tableColumn id="1" xr3:uid="{1C549B80-E778-4636-922B-167DD1CCDD8C}" name="Defining element"/>
    <tableColumn id="2" xr3:uid="{B4A08CE0-3673-4D4D-86B8-5EE733B19C2B}" name="Shortening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E17959-ABA1-4B11-965A-02E6B781C5D0}" name="tblReversed" displayName="tblReversed" ref="L2:L4" totalsRowShown="0" dataDxfId="58">
  <autoFilter ref="L2:L4" xr:uid="{002E3A4B-089C-4FC8-82F0-9F3C32D7A724}"/>
  <tableColumns count="1">
    <tableColumn id="1" xr3:uid="{9D567421-3A90-4087-B85E-CF5BBBC78744}" name="Reversed" dataDxfId="57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EFA459-112C-4D0E-9721-101DEB3F7934}" name="tblCurveDirection" displayName="tblCurveDirection" ref="J2:J4" totalsRowShown="0">
  <autoFilter ref="J2:J4" xr:uid="{989D4218-7D7A-4FB3-90AC-09C2598BC7F0}"/>
  <tableColumns count="1">
    <tableColumn id="1" xr3:uid="{7CD68CEF-C055-417A-B604-A22EE6806B02}" name="CurveDirectio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2D2487-5EB7-4A8A-BB8D-729427F036E1}" name="tblCLplan" displayName="tblCLplan" ref="A3:N18" headerRowDxfId="56" dataDxfId="55" totalsRowDxfId="54">
  <autoFilter ref="A3:N18" xr:uid="{00000000-0009-0000-0100-00000E000000}"/>
  <tableColumns count="14">
    <tableColumn id="1" xr3:uid="{DE4E5B74-73DA-419D-AC29-2A87EA1273F5}" name="GeomType" totalsRowLabel="Total" dataDxfId="53" totalsRowDxfId="52"/>
    <tableColumn id="15" xr3:uid="{78D009D5-673C-4FFB-9566-E4025B6663C0}" name="InitType" dataDxfId="51" totalsRowDxfId="50"/>
    <tableColumn id="2" xr3:uid="{80913606-3C58-4270-947A-2AFCAE873D82}" name="StartX" dataDxfId="49" totalsRowDxfId="48"/>
    <tableColumn id="3" xr3:uid="{9CFD32DE-C658-4AE2-98AE-AAD59FF93CDA}" name="StartY" dataDxfId="47" totalsRowDxfId="46"/>
    <tableColumn id="4" xr3:uid="{5FB78F87-77B0-474A-B955-5712BBC3F540}" name="EndX" dataDxfId="45"/>
    <tableColumn id="5" xr3:uid="{D6C705C3-8DAB-4415-BC93-A53ACD7590D2}" name="EndY" dataDxfId="44"/>
    <tableColumn id="6" xr3:uid="{B09A631A-1AB7-4796-B3EE-E5B25ACEE4BE}" name="CenterX" dataDxfId="43" totalsRowDxfId="42"/>
    <tableColumn id="7" xr3:uid="{7C056622-2B25-4C1B-BFE9-6B3603EA911A}" name="CenterY" dataDxfId="41" totalsRowDxfId="40"/>
    <tableColumn id="10" xr3:uid="{A421D78E-39AC-4873-B5C8-9B86A53559DF}" name="Length" dataDxfId="39" totalsRowDxfId="38"/>
    <tableColumn id="11" xr3:uid="{72414B6E-05F0-413C-910F-98824D4439C7}" name="Radius" dataDxfId="37" totalsRowDxfId="36"/>
    <tableColumn id="12" xr3:uid="{2776BAC8-826A-4DFE-A844-FFB4A699CDFE}" name="CurveDirection" dataDxfId="35" totalsRowDxfId="34"/>
    <tableColumn id="16" xr3:uid="{B8666EA4-B7EA-45BD-8FCB-D6BAF9D5278F}" name="StartTheta" dataDxfId="33"/>
    <tableColumn id="13" xr3:uid="{ECE7F74D-041B-4F5B-B12C-5188D8D78D0F}" name="Reversed" dataDxfId="32" totalsRowDxfId="31"/>
    <tableColumn id="14" xr3:uid="{42D13CF8-E240-496A-BE2C-5323A4980D7E}" name="Measure" totalsRowFunction="count" dataDxfId="30" totalsRowDxfId="2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97FA4B-EAAC-48B6-B18D-4BD10D33236C}" name="tblCLelevation" displayName="tblCLelevation" ref="A22:N36" headerRowDxfId="28" dataDxfId="27" totalsRowDxfId="26">
  <autoFilter ref="A22:N36" xr:uid="{4D6AF389-9E60-4394-A077-BC1FC0A1C9FD}"/>
  <tableColumns count="14">
    <tableColumn id="1" xr3:uid="{41018623-706F-4A5B-8F41-A487608A04DE}" name="GeomType" totalsRowLabel="Total" dataDxfId="25" totalsRowDxfId="24"/>
    <tableColumn id="15" xr3:uid="{6A608317-999A-418E-AF13-303FB6D72278}" name="InitType" dataDxfId="23" totalsRowDxfId="22"/>
    <tableColumn id="2" xr3:uid="{A86156B7-AF61-4035-9F5E-074B37871481}" name="StartX" dataDxfId="21" totalsRowDxfId="20"/>
    <tableColumn id="3" xr3:uid="{BA104110-A7AB-469A-A8B8-09E6A4A92E12}" name="StartY" dataDxfId="19" totalsRowDxfId="18"/>
    <tableColumn id="4" xr3:uid="{26BF3646-954D-46E9-B5FB-6DB567D122FB}" name="EndX" dataDxfId="17"/>
    <tableColumn id="5" xr3:uid="{D75248B2-782B-4169-8999-99B9A653C07A}" name="EndY" dataDxfId="16"/>
    <tableColumn id="6" xr3:uid="{945E4BCA-2845-4F6B-9A7A-EEE0F2614AFA}" name="CenterX" dataDxfId="15" totalsRowDxfId="14"/>
    <tableColumn id="7" xr3:uid="{C6F22A4E-0883-4F15-9FB9-F24864DA6328}" name="CenterY" dataDxfId="13" totalsRowDxfId="12"/>
    <tableColumn id="10" xr3:uid="{6F0DD6A1-B0FB-4FF5-9856-8D48DFC4224D}" name="Length" dataDxfId="11" totalsRowDxfId="10"/>
    <tableColumn id="11" xr3:uid="{41EB211F-4F98-4443-BA1B-8716742DF3E3}" name="Radius" dataDxfId="9" totalsRowDxfId="8"/>
    <tableColumn id="12" xr3:uid="{462218E9-4791-425E-AC91-8B4639A951AA}" name="CurveDirection" dataDxfId="7" totalsRowDxfId="6"/>
    <tableColumn id="8" xr3:uid="{9FA4513D-C177-40A5-877C-1D9F0CCE7705}" name="StartTheta" dataDxfId="5" totalsRowDxfId="4"/>
    <tableColumn id="13" xr3:uid="{1E4D3651-4C01-4D9E-80DE-D504A66EFF90}" name="Reversed" dataDxfId="3" totalsRowDxfId="2"/>
    <tableColumn id="14" xr3:uid="{0B69FCA8-FF01-4B7C-8C72-0C25F6DEDED9}" name="Measure" totalsRowFunction="count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A3106-1D6B-4D41-A26D-50368E6303EB}">
  <sheetPr codeName="Sheet2"/>
  <dimension ref="A1:L16"/>
  <sheetViews>
    <sheetView zoomScaleNormal="100" workbookViewId="0">
      <selection activeCell="E34" sqref="E34"/>
    </sheetView>
  </sheetViews>
  <sheetFormatPr defaultRowHeight="15" x14ac:dyDescent="0.25"/>
  <cols>
    <col min="1" max="1" width="21.7109375" customWidth="1"/>
    <col min="2" max="2" width="17.140625" customWidth="1"/>
    <col min="3" max="3" width="22.7109375" customWidth="1"/>
    <col min="4" max="4" width="4.5703125" customWidth="1"/>
    <col min="5" max="5" width="20.28515625" customWidth="1"/>
    <col min="6" max="6" width="4.5703125" customWidth="1"/>
    <col min="7" max="7" width="19" bestFit="1" customWidth="1"/>
    <col min="8" max="8" width="14.85546875" bestFit="1" customWidth="1"/>
    <col min="9" max="9" width="4.5703125" customWidth="1"/>
    <col min="10" max="10" width="17.140625" bestFit="1" customWidth="1"/>
    <col min="11" max="11" width="4.5703125" customWidth="1"/>
    <col min="12" max="12" width="16.85546875" bestFit="1" customWidth="1"/>
  </cols>
  <sheetData>
    <row r="1" spans="1:12" x14ac:dyDescent="0.25">
      <c r="A1" s="16" t="s">
        <v>47</v>
      </c>
    </row>
    <row r="2" spans="1:12" x14ac:dyDescent="0.25">
      <c r="A2" t="s">
        <v>0</v>
      </c>
      <c r="B2" t="s">
        <v>1</v>
      </c>
      <c r="C2" t="s">
        <v>2</v>
      </c>
      <c r="E2" t="s">
        <v>0</v>
      </c>
      <c r="G2" t="s">
        <v>3</v>
      </c>
      <c r="H2" t="s">
        <v>4</v>
      </c>
      <c r="J2" t="s">
        <v>33</v>
      </c>
      <c r="L2" t="s">
        <v>44</v>
      </c>
    </row>
    <row r="3" spans="1:12" x14ac:dyDescent="0.25">
      <c r="A3" t="s">
        <v>29</v>
      </c>
      <c r="B3" t="s">
        <v>13</v>
      </c>
      <c r="C3" t="s">
        <v>36</v>
      </c>
      <c r="E3" t="s">
        <v>30</v>
      </c>
      <c r="G3" t="s">
        <v>15</v>
      </c>
      <c r="H3" t="s">
        <v>26</v>
      </c>
      <c r="J3" t="s">
        <v>39</v>
      </c>
      <c r="L3" s="13" t="b">
        <v>1</v>
      </c>
    </row>
    <row r="4" spans="1:12" x14ac:dyDescent="0.25">
      <c r="A4" t="s">
        <v>29</v>
      </c>
      <c r="B4" t="s">
        <v>14</v>
      </c>
      <c r="C4" t="s">
        <v>37</v>
      </c>
      <c r="E4" t="s">
        <v>29</v>
      </c>
      <c r="G4" t="s">
        <v>16</v>
      </c>
      <c r="H4" t="s">
        <v>26</v>
      </c>
      <c r="J4" t="s">
        <v>40</v>
      </c>
      <c r="L4" s="13" t="b">
        <v>0</v>
      </c>
    </row>
    <row r="5" spans="1:12" x14ac:dyDescent="0.25">
      <c r="A5" t="s">
        <v>34</v>
      </c>
      <c r="B5" t="s">
        <v>35</v>
      </c>
      <c r="C5" t="s">
        <v>38</v>
      </c>
      <c r="E5" t="s">
        <v>34</v>
      </c>
      <c r="G5" t="s">
        <v>17</v>
      </c>
      <c r="H5" t="s">
        <v>27</v>
      </c>
    </row>
    <row r="6" spans="1:12" x14ac:dyDescent="0.25">
      <c r="A6" t="s">
        <v>30</v>
      </c>
      <c r="B6" t="s">
        <v>12</v>
      </c>
      <c r="G6" t="s">
        <v>18</v>
      </c>
      <c r="H6" t="s">
        <v>27</v>
      </c>
    </row>
    <row r="7" spans="1:12" x14ac:dyDescent="0.25">
      <c r="G7" t="s">
        <v>19</v>
      </c>
      <c r="H7" t="s">
        <v>28</v>
      </c>
    </row>
    <row r="8" spans="1:12" x14ac:dyDescent="0.25">
      <c r="G8" t="s">
        <v>20</v>
      </c>
      <c r="H8" t="s">
        <v>28</v>
      </c>
    </row>
    <row r="9" spans="1:12" x14ac:dyDescent="0.25">
      <c r="G9" t="s">
        <v>6</v>
      </c>
      <c r="H9" t="s">
        <v>7</v>
      </c>
    </row>
    <row r="10" spans="1:12" x14ac:dyDescent="0.25">
      <c r="G10" t="s">
        <v>8</v>
      </c>
      <c r="H10" t="s">
        <v>7</v>
      </c>
    </row>
    <row r="11" spans="1:12" x14ac:dyDescent="0.25">
      <c r="G11" t="s">
        <v>9</v>
      </c>
      <c r="H11" t="s">
        <v>22</v>
      </c>
    </row>
    <row r="12" spans="1:12" x14ac:dyDescent="0.25">
      <c r="G12" t="s">
        <v>10</v>
      </c>
      <c r="H12" t="s">
        <v>23</v>
      </c>
    </row>
    <row r="13" spans="1:12" x14ac:dyDescent="0.25">
      <c r="G13" t="s">
        <v>33</v>
      </c>
      <c r="H13" t="s">
        <v>24</v>
      </c>
    </row>
    <row r="14" spans="1:12" x14ac:dyDescent="0.25">
      <c r="G14" t="s">
        <v>5</v>
      </c>
      <c r="H14" t="s">
        <v>11</v>
      </c>
    </row>
    <row r="15" spans="1:12" x14ac:dyDescent="0.25">
      <c r="G15" t="s">
        <v>21</v>
      </c>
      <c r="H15" t="s">
        <v>25</v>
      </c>
    </row>
    <row r="16" spans="1:12" x14ac:dyDescent="0.25">
      <c r="G16" t="s">
        <v>41</v>
      </c>
      <c r="H16" t="s">
        <v>42</v>
      </c>
    </row>
  </sheetData>
  <dataConsolidate/>
  <dataValidations disablePrompts="1" count="1">
    <dataValidation type="list" allowBlank="1" showInputMessage="1" showErrorMessage="1" sqref="A3:A6" xr:uid="{FD7A98E7-B44E-4240-9351-D2FE750D3C03}">
      <formula1>dvElemType</formula1>
    </dataValidation>
  </dataValidations>
  <pageMargins left="0.7" right="0.7" top="0.75" bottom="0.75" header="0.3" footer="0.3"/>
  <pageSetup paperSize="9" orientation="portrait" horizontalDpi="1200" verticalDpi="1200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126B-0495-4DCD-8277-12084B0A526B}">
  <sheetPr codeName="Sheet4"/>
  <dimension ref="A1:N36"/>
  <sheetViews>
    <sheetView zoomScale="85" zoomScaleNormal="85" workbookViewId="0">
      <selection activeCell="Q10" sqref="Q10"/>
    </sheetView>
  </sheetViews>
  <sheetFormatPr defaultRowHeight="12.75" x14ac:dyDescent="0.2"/>
  <cols>
    <col min="1" max="1" width="14" style="1" bestFit="1" customWidth="1"/>
    <col min="2" max="2" width="10.85546875" style="1" customWidth="1"/>
    <col min="3" max="6" width="11.42578125" style="1" bestFit="1" customWidth="1"/>
    <col min="7" max="8" width="13.5703125" style="1" customWidth="1"/>
    <col min="9" max="9" width="9" style="1" customWidth="1"/>
    <col min="10" max="10" width="10.42578125" style="1" customWidth="1"/>
    <col min="11" max="11" width="13.42578125" style="1" customWidth="1"/>
    <col min="12" max="12" width="11.42578125" style="1" bestFit="1" customWidth="1"/>
    <col min="13" max="13" width="10.7109375" style="1" customWidth="1"/>
    <col min="14" max="14" width="12.7109375" style="1" customWidth="1"/>
    <col min="15" max="15" width="9.140625" style="1" customWidth="1"/>
    <col min="16" max="16" width="11.42578125" style="1" bestFit="1" customWidth="1"/>
    <col min="17" max="17" width="9.7109375" style="1" customWidth="1"/>
    <col min="18" max="18" width="11.42578125" style="1" bestFit="1" customWidth="1"/>
    <col min="19" max="19" width="9.7109375" style="1" customWidth="1"/>
    <col min="20" max="21" width="13.5703125" style="1" customWidth="1"/>
    <col min="22" max="22" width="9" style="1" customWidth="1"/>
    <col min="23" max="23" width="10.42578125" style="1" customWidth="1"/>
    <col min="24" max="25" width="13.42578125" style="1" customWidth="1"/>
    <col min="26" max="26" width="11.42578125" style="1" bestFit="1" customWidth="1"/>
    <col min="27" max="27" width="10.7109375" style="1" customWidth="1"/>
    <col min="28" max="28" width="12.7109375" style="1" customWidth="1"/>
    <col min="29" max="16384" width="9.140625" style="1"/>
  </cols>
  <sheetData>
    <row r="1" spans="1:14" customFormat="1" ht="15" x14ac:dyDescent="0.25">
      <c r="A1" s="16" t="s">
        <v>46</v>
      </c>
    </row>
    <row r="3" spans="1:14" ht="24.75" customHeight="1" x14ac:dyDescent="0.2">
      <c r="A3" s="9" t="s">
        <v>31</v>
      </c>
      <c r="B3" s="9" t="s">
        <v>32</v>
      </c>
      <c r="C3" s="10" t="s">
        <v>15</v>
      </c>
      <c r="D3" s="10" t="s">
        <v>16</v>
      </c>
      <c r="E3" s="10" t="s">
        <v>17</v>
      </c>
      <c r="F3" s="10" t="s">
        <v>18</v>
      </c>
      <c r="G3" s="10" t="s">
        <v>19</v>
      </c>
      <c r="H3" s="10" t="s">
        <v>20</v>
      </c>
      <c r="I3" s="10" t="s">
        <v>9</v>
      </c>
      <c r="J3" s="11" t="s">
        <v>10</v>
      </c>
      <c r="K3" s="11" t="s">
        <v>33</v>
      </c>
      <c r="L3" s="11" t="s">
        <v>43</v>
      </c>
      <c r="M3" s="11" t="s">
        <v>44</v>
      </c>
      <c r="N3" s="12" t="s">
        <v>21</v>
      </c>
    </row>
    <row r="4" spans="1:14" x14ac:dyDescent="0.2">
      <c r="A4" s="2" t="s">
        <v>30</v>
      </c>
      <c r="B4" s="2" t="s">
        <v>12</v>
      </c>
      <c r="C4" s="3">
        <v>198764.34589999999</v>
      </c>
      <c r="D4" s="3">
        <v>304156.56929999997</v>
      </c>
      <c r="E4" s="3">
        <v>198602.81520000001</v>
      </c>
      <c r="F4" s="3">
        <v>304353.6703</v>
      </c>
      <c r="G4" s="3"/>
      <c r="H4" s="3"/>
      <c r="I4" s="3"/>
      <c r="J4" s="3"/>
      <c r="K4" s="4"/>
      <c r="L4" s="5" t="s">
        <v>45</v>
      </c>
      <c r="M4" s="4" t="b">
        <v>0</v>
      </c>
      <c r="N4" s="14">
        <v>115239.0685606764</v>
      </c>
    </row>
    <row r="5" spans="1:14" x14ac:dyDescent="0.2">
      <c r="A5" s="2" t="s">
        <v>34</v>
      </c>
      <c r="B5" s="2" t="s">
        <v>35</v>
      </c>
      <c r="C5" s="3">
        <v>198602.81520000001</v>
      </c>
      <c r="D5" s="3">
        <v>304353.6703</v>
      </c>
      <c r="E5" s="3"/>
      <c r="F5" s="3"/>
      <c r="G5" s="3"/>
      <c r="H5" s="3"/>
      <c r="I5" s="3">
        <v>100</v>
      </c>
      <c r="J5" s="3">
        <v>1500</v>
      </c>
      <c r="K5" s="4" t="s">
        <v>40</v>
      </c>
      <c r="L5" s="5">
        <v>2.2573346992588563</v>
      </c>
      <c r="M5" s="4" t="b">
        <v>0</v>
      </c>
      <c r="N5" s="14">
        <v>115493.90374514568</v>
      </c>
    </row>
    <row r="6" spans="1:14" x14ac:dyDescent="0.2">
      <c r="A6" s="2" t="s">
        <v>29</v>
      </c>
      <c r="B6" s="2" t="s">
        <v>14</v>
      </c>
      <c r="C6" s="3">
        <v>198538.5765</v>
      </c>
      <c r="D6" s="3">
        <v>304430.30200000003</v>
      </c>
      <c r="E6" s="3">
        <v>198536.28339999999</v>
      </c>
      <c r="F6" s="3">
        <v>304432.91110000003</v>
      </c>
      <c r="G6" s="3"/>
      <c r="H6" s="3"/>
      <c r="I6" s="3"/>
      <c r="J6" s="3">
        <v>1500</v>
      </c>
      <c r="K6" s="4" t="s">
        <v>40</v>
      </c>
      <c r="L6" s="5" t="s">
        <v>45</v>
      </c>
      <c r="M6" s="4" t="b">
        <v>0</v>
      </c>
      <c r="N6" s="14">
        <v>115593.90374514568</v>
      </c>
    </row>
    <row r="7" spans="1:14" x14ac:dyDescent="0.2">
      <c r="A7" s="2" t="s">
        <v>34</v>
      </c>
      <c r="B7" s="2" t="s">
        <v>35</v>
      </c>
      <c r="C7" s="3">
        <v>198468.533</v>
      </c>
      <c r="D7" s="3">
        <v>304506.45630000002</v>
      </c>
      <c r="E7" s="3"/>
      <c r="F7" s="3"/>
      <c r="G7" s="3"/>
      <c r="H7" s="3"/>
      <c r="I7" s="3">
        <v>100</v>
      </c>
      <c r="J7" s="3">
        <v>1500</v>
      </c>
      <c r="K7" s="4" t="s">
        <v>39</v>
      </c>
      <c r="L7" s="5">
        <v>-0.81527596682404757</v>
      </c>
      <c r="M7" s="4" t="b">
        <v>1</v>
      </c>
      <c r="N7" s="14">
        <v>115597.37737124764</v>
      </c>
    </row>
    <row r="8" spans="1:14" x14ac:dyDescent="0.2">
      <c r="A8" s="2" t="s">
        <v>30</v>
      </c>
      <c r="B8" s="2" t="s">
        <v>12</v>
      </c>
      <c r="C8" s="3">
        <v>198468.533</v>
      </c>
      <c r="D8" s="3">
        <v>304506.45630000002</v>
      </c>
      <c r="E8" s="3">
        <v>198065.30069999999</v>
      </c>
      <c r="F8" s="3">
        <v>304934.53350000002</v>
      </c>
      <c r="G8" s="3"/>
      <c r="H8" s="3"/>
      <c r="I8" s="3"/>
      <c r="J8" s="3"/>
      <c r="K8" s="4"/>
      <c r="L8" s="5" t="s">
        <v>45</v>
      </c>
      <c r="M8" s="4" t="b">
        <v>0</v>
      </c>
      <c r="N8" s="14">
        <v>115697.37737124764</v>
      </c>
    </row>
    <row r="9" spans="1:14" x14ac:dyDescent="0.2">
      <c r="A9" s="2" t="s">
        <v>29</v>
      </c>
      <c r="B9" s="2" t="s">
        <v>14</v>
      </c>
      <c r="C9" s="3">
        <v>198065.30069999999</v>
      </c>
      <c r="D9" s="3">
        <v>304934.53350000002</v>
      </c>
      <c r="E9" s="3">
        <v>197947.8499</v>
      </c>
      <c r="F9" s="3">
        <v>305055.0894</v>
      </c>
      <c r="G9" s="3"/>
      <c r="H9" s="3"/>
      <c r="I9" s="3"/>
      <c r="J9" s="3">
        <v>5000</v>
      </c>
      <c r="K9" s="4" t="s">
        <v>40</v>
      </c>
      <c r="L9" s="5" t="s">
        <v>45</v>
      </c>
      <c r="M9" s="4" t="b">
        <v>0</v>
      </c>
      <c r="N9" s="14">
        <v>116285.46442001095</v>
      </c>
    </row>
    <row r="10" spans="1:14" x14ac:dyDescent="0.2">
      <c r="A10" s="2" t="s">
        <v>30</v>
      </c>
      <c r="B10" s="2" t="s">
        <v>12</v>
      </c>
      <c r="C10" s="3">
        <v>197947.8499</v>
      </c>
      <c r="D10" s="3">
        <v>305055.0894</v>
      </c>
      <c r="E10" s="3">
        <v>197749.9307</v>
      </c>
      <c r="F10" s="3">
        <v>305251.51559999998</v>
      </c>
      <c r="G10" s="3"/>
      <c r="H10" s="3"/>
      <c r="I10" s="3"/>
      <c r="J10" s="3"/>
      <c r="K10" s="4"/>
      <c r="L10" s="5" t="s">
        <v>45</v>
      </c>
      <c r="M10" s="4" t="b">
        <v>0</v>
      </c>
      <c r="N10" s="14">
        <v>116453.78286171747</v>
      </c>
    </row>
    <row r="11" spans="1:14" x14ac:dyDescent="0.2">
      <c r="A11" s="2" t="s">
        <v>34</v>
      </c>
      <c r="B11" s="2" t="s">
        <v>35</v>
      </c>
      <c r="C11" s="3">
        <v>197749.9307</v>
      </c>
      <c r="D11" s="3">
        <v>305251.51559999998</v>
      </c>
      <c r="E11" s="3"/>
      <c r="F11" s="3"/>
      <c r="G11" s="3"/>
      <c r="H11" s="3"/>
      <c r="I11" s="3">
        <v>120</v>
      </c>
      <c r="J11" s="3">
        <v>700</v>
      </c>
      <c r="K11" s="4" t="s">
        <v>39</v>
      </c>
      <c r="L11" s="5">
        <v>2.3599805612386269</v>
      </c>
      <c r="M11" s="4" t="b">
        <v>0</v>
      </c>
      <c r="N11" s="14">
        <v>116732.62916665098</v>
      </c>
    </row>
    <row r="12" spans="1:14" x14ac:dyDescent="0.2">
      <c r="A12" s="2" t="s">
        <v>29</v>
      </c>
      <c r="B12" s="2" t="s">
        <v>14</v>
      </c>
      <c r="C12" s="3">
        <v>197667.23360000001</v>
      </c>
      <c r="D12" s="3">
        <v>305338.41680000001</v>
      </c>
      <c r="E12" s="3">
        <v>197664.20920000001</v>
      </c>
      <c r="F12" s="3">
        <v>305342.00670000003</v>
      </c>
      <c r="G12" s="3"/>
      <c r="H12" s="3"/>
      <c r="I12" s="3"/>
      <c r="J12" s="3">
        <v>700</v>
      </c>
      <c r="K12" s="4" t="s">
        <v>39</v>
      </c>
      <c r="L12" s="5" t="s">
        <v>45</v>
      </c>
      <c r="M12" s="4" t="b">
        <v>0</v>
      </c>
      <c r="N12" s="14">
        <v>116852.62916665098</v>
      </c>
    </row>
    <row r="13" spans="1:14" x14ac:dyDescent="0.2">
      <c r="A13" s="2" t="s">
        <v>34</v>
      </c>
      <c r="B13" s="2" t="s">
        <v>35</v>
      </c>
      <c r="C13" s="3">
        <v>197592.60569999999</v>
      </c>
      <c r="D13" s="3">
        <v>305438.25400000002</v>
      </c>
      <c r="E13" s="3"/>
      <c r="F13" s="3"/>
      <c r="G13" s="3"/>
      <c r="H13" s="3"/>
      <c r="I13" s="3">
        <v>120</v>
      </c>
      <c r="J13" s="3">
        <v>700</v>
      </c>
      <c r="K13" s="4" t="s">
        <v>40</v>
      </c>
      <c r="L13" s="5">
        <v>-0.95974621008050154</v>
      </c>
      <c r="M13" s="4" t="b">
        <v>1</v>
      </c>
      <c r="N13" s="14">
        <v>116857.32333039139</v>
      </c>
    </row>
    <row r="14" spans="1:14" x14ac:dyDescent="0.2">
      <c r="A14" s="2" t="s">
        <v>30</v>
      </c>
      <c r="B14" s="2" t="s">
        <v>12</v>
      </c>
      <c r="C14" s="3">
        <v>197592.60569999999</v>
      </c>
      <c r="D14" s="3">
        <v>305438.25400000002</v>
      </c>
      <c r="E14" s="3">
        <v>197432.9884</v>
      </c>
      <c r="F14" s="3">
        <v>305666.12170000002</v>
      </c>
      <c r="G14" s="3"/>
      <c r="H14" s="3"/>
      <c r="I14" s="3"/>
      <c r="J14" s="3"/>
      <c r="K14" s="4"/>
      <c r="L14" s="5" t="s">
        <v>45</v>
      </c>
      <c r="M14" s="4" t="b">
        <v>0</v>
      </c>
      <c r="N14" s="14">
        <v>116977.32333039139</v>
      </c>
    </row>
    <row r="15" spans="1:14" x14ac:dyDescent="0.2">
      <c r="A15" s="6" t="s">
        <v>34</v>
      </c>
      <c r="B15" s="6" t="s">
        <v>35</v>
      </c>
      <c r="C15" s="7">
        <v>197432.9884</v>
      </c>
      <c r="D15" s="7">
        <v>305666.12170000002</v>
      </c>
      <c r="E15" s="7"/>
      <c r="F15" s="7"/>
      <c r="G15" s="7"/>
      <c r="H15" s="7"/>
      <c r="I15" s="7">
        <v>100</v>
      </c>
      <c r="J15" s="7">
        <v>1300</v>
      </c>
      <c r="K15" s="8" t="s">
        <v>40</v>
      </c>
      <c r="L15" s="5">
        <v>2.1818459860058153</v>
      </c>
      <c r="M15" s="8" t="b">
        <v>0</v>
      </c>
      <c r="N15" s="15">
        <v>117255.5343495164</v>
      </c>
    </row>
    <row r="16" spans="1:14" x14ac:dyDescent="0.2">
      <c r="A16" s="6" t="s">
        <v>29</v>
      </c>
      <c r="B16" s="6" t="s">
        <v>14</v>
      </c>
      <c r="C16" s="7">
        <v>197374.5742</v>
      </c>
      <c r="D16" s="7">
        <v>305747.27870000002</v>
      </c>
      <c r="E16" s="7">
        <v>197339.84899999999</v>
      </c>
      <c r="F16" s="7">
        <v>305791.02029999997</v>
      </c>
      <c r="G16" s="7"/>
      <c r="H16" s="7"/>
      <c r="I16" s="7"/>
      <c r="J16" s="7">
        <v>1300</v>
      </c>
      <c r="K16" s="8" t="s">
        <v>40</v>
      </c>
      <c r="L16" s="5" t="s">
        <v>45</v>
      </c>
      <c r="M16" s="8" t="b">
        <v>0</v>
      </c>
      <c r="N16" s="15">
        <v>117355.5343495164</v>
      </c>
    </row>
    <row r="17" spans="1:14" x14ac:dyDescent="0.2">
      <c r="A17" s="6" t="s">
        <v>34</v>
      </c>
      <c r="B17" s="6" t="s">
        <v>35</v>
      </c>
      <c r="C17" s="7">
        <v>197274.05650000001</v>
      </c>
      <c r="D17" s="7">
        <v>305866.3199</v>
      </c>
      <c r="E17" s="7"/>
      <c r="F17" s="7"/>
      <c r="G17" s="7"/>
      <c r="H17" s="7"/>
      <c r="I17" s="7">
        <v>100</v>
      </c>
      <c r="J17" s="7">
        <v>1300</v>
      </c>
      <c r="K17" s="8" t="s">
        <v>39</v>
      </c>
      <c r="L17" s="5">
        <v>-0.83985871854207261</v>
      </c>
      <c r="M17" s="8" t="b">
        <v>1</v>
      </c>
      <c r="N17" s="15">
        <v>117411.38815560106</v>
      </c>
    </row>
    <row r="18" spans="1:14" x14ac:dyDescent="0.2">
      <c r="A18" s="6" t="s">
        <v>30</v>
      </c>
      <c r="B18" s="6" t="s">
        <v>12</v>
      </c>
      <c r="C18" s="7">
        <v>197274.05650000001</v>
      </c>
      <c r="D18" s="7">
        <v>305866.3199</v>
      </c>
      <c r="E18" s="7">
        <v>197111.00889999999</v>
      </c>
      <c r="F18" s="7">
        <v>306048.16960000002</v>
      </c>
      <c r="G18" s="7"/>
      <c r="H18" s="7"/>
      <c r="I18" s="7"/>
      <c r="J18" s="7"/>
      <c r="K18" s="8"/>
      <c r="L18" s="5" t="s">
        <v>45</v>
      </c>
      <c r="M18" s="8" t="b">
        <v>0</v>
      </c>
      <c r="N18" s="15">
        <v>117511.38815560106</v>
      </c>
    </row>
    <row r="22" spans="1:14" ht="28.5" customHeight="1" x14ac:dyDescent="0.2">
      <c r="A22" s="9" t="s">
        <v>31</v>
      </c>
      <c r="B22" s="9" t="s">
        <v>32</v>
      </c>
      <c r="C22" s="10" t="s">
        <v>15</v>
      </c>
      <c r="D22" s="10" t="s">
        <v>16</v>
      </c>
      <c r="E22" s="10" t="s">
        <v>17</v>
      </c>
      <c r="F22" s="10" t="s">
        <v>18</v>
      </c>
      <c r="G22" s="10" t="s">
        <v>19</v>
      </c>
      <c r="H22" s="10" t="s">
        <v>20</v>
      </c>
      <c r="I22" s="10" t="s">
        <v>9</v>
      </c>
      <c r="J22" s="11" t="s">
        <v>10</v>
      </c>
      <c r="K22" s="11" t="s">
        <v>33</v>
      </c>
      <c r="L22" s="11" t="s">
        <v>43</v>
      </c>
      <c r="M22" s="11" t="s">
        <v>44</v>
      </c>
      <c r="N22" s="12" t="s">
        <v>21</v>
      </c>
    </row>
    <row r="23" spans="1:14" x14ac:dyDescent="0.2">
      <c r="A23" s="2" t="s">
        <v>30</v>
      </c>
      <c r="B23" s="2" t="s">
        <v>12</v>
      </c>
      <c r="C23" s="3">
        <v>115839.62236493955</v>
      </c>
      <c r="D23" s="3">
        <v>148.15905552272966</v>
      </c>
      <c r="E23" s="3">
        <v>116186.6</v>
      </c>
      <c r="F23" s="3">
        <v>134.83000000000001</v>
      </c>
      <c r="G23" s="3"/>
      <c r="H23" s="3"/>
      <c r="I23" s="3"/>
      <c r="J23" s="3"/>
      <c r="K23" s="4"/>
      <c r="L23" s="4"/>
      <c r="M23" s="4" t="b">
        <v>0</v>
      </c>
      <c r="N23" s="14">
        <v>1</v>
      </c>
    </row>
    <row r="24" spans="1:14" x14ac:dyDescent="0.2">
      <c r="A24" s="2" t="s">
        <v>29</v>
      </c>
      <c r="B24" s="2" t="s">
        <v>14</v>
      </c>
      <c r="C24" s="3">
        <v>116186.6</v>
      </c>
      <c r="D24" s="3">
        <v>134.83000000000001</v>
      </c>
      <c r="E24" s="3">
        <v>116439.34891801843</v>
      </c>
      <c r="F24" s="3">
        <v>124.32267113782954</v>
      </c>
      <c r="G24" s="3"/>
      <c r="H24" s="3"/>
      <c r="I24" s="3"/>
      <c r="J24" s="3">
        <v>40089.040415651078</v>
      </c>
      <c r="K24" s="4" t="s">
        <v>39</v>
      </c>
      <c r="L24" s="4"/>
      <c r="M24" s="4" t="b">
        <v>0</v>
      </c>
      <c r="N24" s="14">
        <v>2</v>
      </c>
    </row>
    <row r="25" spans="1:14" x14ac:dyDescent="0.2">
      <c r="A25" s="2" t="s">
        <v>30</v>
      </c>
      <c r="B25" s="2" t="s">
        <v>12</v>
      </c>
      <c r="C25" s="3">
        <v>116439.34891801843</v>
      </c>
      <c r="D25" s="3">
        <v>124.32267113782954</v>
      </c>
      <c r="E25" s="3">
        <v>116474.74337778642</v>
      </c>
      <c r="F25" s="3">
        <v>122.73941985211033</v>
      </c>
      <c r="G25" s="3"/>
      <c r="H25" s="3"/>
      <c r="I25" s="3"/>
      <c r="J25" s="3"/>
      <c r="K25" s="4"/>
      <c r="L25" s="4"/>
      <c r="M25" s="4" t="b">
        <v>0</v>
      </c>
      <c r="N25" s="14">
        <v>3</v>
      </c>
    </row>
    <row r="26" spans="1:14" x14ac:dyDescent="0.2">
      <c r="A26" s="2" t="s">
        <v>29</v>
      </c>
      <c r="B26" s="2" t="s">
        <v>14</v>
      </c>
      <c r="C26" s="3">
        <v>116474.74337778642</v>
      </c>
      <c r="D26" s="3">
        <v>122.73941985211033</v>
      </c>
      <c r="E26" s="3">
        <v>116733.13323057091</v>
      </c>
      <c r="F26" s="3">
        <v>123.09943157847721</v>
      </c>
      <c r="G26" s="3"/>
      <c r="H26" s="3"/>
      <c r="I26" s="3"/>
      <c r="J26" s="3">
        <v>2801.5583409141559</v>
      </c>
      <c r="K26" s="4" t="s">
        <v>40</v>
      </c>
      <c r="L26" s="4"/>
      <c r="M26" s="4" t="b">
        <v>0</v>
      </c>
      <c r="N26" s="14">
        <v>4</v>
      </c>
    </row>
    <row r="27" spans="1:14" x14ac:dyDescent="0.2">
      <c r="A27" s="2" t="s">
        <v>29</v>
      </c>
      <c r="B27" s="2" t="s">
        <v>14</v>
      </c>
      <c r="C27" s="3">
        <v>116733.13323057091</v>
      </c>
      <c r="D27" s="3">
        <v>123.09943157847721</v>
      </c>
      <c r="E27" s="3">
        <v>116884.13751767408</v>
      </c>
      <c r="F27" s="3">
        <v>127.99610600663121</v>
      </c>
      <c r="G27" s="3"/>
      <c r="H27" s="3"/>
      <c r="I27" s="3"/>
      <c r="J27" s="3">
        <v>5008.2117512112181</v>
      </c>
      <c r="K27" s="4" t="s">
        <v>39</v>
      </c>
      <c r="L27" s="4"/>
      <c r="M27" s="4" t="b">
        <v>0</v>
      </c>
      <c r="N27" s="14">
        <v>5</v>
      </c>
    </row>
    <row r="28" spans="1:14" x14ac:dyDescent="0.2">
      <c r="A28" s="2" t="s">
        <v>30</v>
      </c>
      <c r="B28" s="2" t="s">
        <v>12</v>
      </c>
      <c r="C28" s="3">
        <v>116884.13751767408</v>
      </c>
      <c r="D28" s="3">
        <v>127.99610600663121</v>
      </c>
      <c r="E28" s="3">
        <v>117069.03137735417</v>
      </c>
      <c r="F28" s="3">
        <v>131.20150777444383</v>
      </c>
      <c r="G28" s="3"/>
      <c r="H28" s="3"/>
      <c r="I28" s="3"/>
      <c r="J28" s="3"/>
      <c r="K28" s="4"/>
      <c r="L28" s="4"/>
      <c r="M28" s="4" t="b">
        <v>0</v>
      </c>
      <c r="N28" s="14">
        <v>6</v>
      </c>
    </row>
    <row r="29" spans="1:14" x14ac:dyDescent="0.2">
      <c r="A29" s="2" t="s">
        <v>29</v>
      </c>
      <c r="B29" s="2" t="s">
        <v>14</v>
      </c>
      <c r="C29" s="3">
        <v>117069.03137735417</v>
      </c>
      <c r="D29" s="3">
        <v>131.20150777444383</v>
      </c>
      <c r="E29" s="3">
        <v>117360.0320806868</v>
      </c>
      <c r="F29" s="3">
        <v>129.52548060616618</v>
      </c>
      <c r="G29" s="3"/>
      <c r="H29" s="3"/>
      <c r="I29" s="3"/>
      <c r="J29" s="3">
        <v>6300</v>
      </c>
      <c r="K29" s="4" t="s">
        <v>39</v>
      </c>
      <c r="L29" s="4"/>
      <c r="M29" s="4" t="b">
        <v>0</v>
      </c>
      <c r="N29" s="14">
        <v>7</v>
      </c>
    </row>
    <row r="30" spans="1:14" x14ac:dyDescent="0.2">
      <c r="A30" s="2" t="s">
        <v>30</v>
      </c>
      <c r="B30" s="2" t="s">
        <v>12</v>
      </c>
      <c r="C30" s="3">
        <v>117360.0320806868</v>
      </c>
      <c r="D30" s="3">
        <v>129.52548060616618</v>
      </c>
      <c r="E30" s="3">
        <v>117473.54</v>
      </c>
      <c r="F30" s="3">
        <v>126.25</v>
      </c>
      <c r="G30" s="3"/>
      <c r="H30" s="3"/>
      <c r="I30" s="3"/>
      <c r="J30" s="3"/>
      <c r="K30" s="4"/>
      <c r="L30" s="4"/>
      <c r="M30" s="4" t="b">
        <v>0</v>
      </c>
      <c r="N30" s="14">
        <v>8</v>
      </c>
    </row>
    <row r="31" spans="1:14" x14ac:dyDescent="0.2">
      <c r="A31" s="2" t="s">
        <v>29</v>
      </c>
      <c r="B31" s="2" t="s">
        <v>14</v>
      </c>
      <c r="C31" s="3">
        <v>117473.54</v>
      </c>
      <c r="D31" s="3">
        <v>126.25</v>
      </c>
      <c r="E31" s="3">
        <v>117511.0876523788</v>
      </c>
      <c r="F31" s="3">
        <v>125.13077500842276</v>
      </c>
      <c r="G31" s="3"/>
      <c r="H31" s="3"/>
      <c r="I31" s="3"/>
      <c r="J31" s="3">
        <v>20000</v>
      </c>
      <c r="K31" s="4" t="s">
        <v>39</v>
      </c>
      <c r="L31" s="4"/>
      <c r="M31" s="4" t="b">
        <v>0</v>
      </c>
      <c r="N31" s="14">
        <v>9</v>
      </c>
    </row>
    <row r="32" spans="1:14" x14ac:dyDescent="0.2">
      <c r="A32" s="2" t="s">
        <v>30</v>
      </c>
      <c r="B32" s="2" t="s">
        <v>12</v>
      </c>
      <c r="C32" s="3">
        <v>117511.0876523788</v>
      </c>
      <c r="D32" s="3">
        <v>125.13077500842276</v>
      </c>
      <c r="E32" s="3">
        <v>117619.65621049452</v>
      </c>
      <c r="F32" s="3">
        <v>121.79355934905301</v>
      </c>
      <c r="G32" s="3"/>
      <c r="H32" s="3"/>
      <c r="I32" s="3"/>
      <c r="J32" s="3"/>
      <c r="K32" s="4"/>
      <c r="L32" s="4"/>
      <c r="M32" s="4" t="b">
        <v>0</v>
      </c>
      <c r="N32" s="14">
        <v>10</v>
      </c>
    </row>
    <row r="33" spans="1:14" x14ac:dyDescent="0.2">
      <c r="A33" s="2" t="s">
        <v>29</v>
      </c>
      <c r="B33" s="2" t="s">
        <v>14</v>
      </c>
      <c r="C33" s="3">
        <v>117619.65621049452</v>
      </c>
      <c r="D33" s="3">
        <v>121.79355934905301</v>
      </c>
      <c r="E33" s="3">
        <v>117772.64279949042</v>
      </c>
      <c r="F33" s="3">
        <v>119.21943495984669</v>
      </c>
      <c r="G33" s="3"/>
      <c r="H33" s="3"/>
      <c r="I33" s="3"/>
      <c r="J33" s="3">
        <v>5500</v>
      </c>
      <c r="K33" s="4" t="s">
        <v>40</v>
      </c>
      <c r="L33" s="4"/>
      <c r="M33" s="4" t="b">
        <v>0</v>
      </c>
      <c r="N33" s="14">
        <v>11</v>
      </c>
    </row>
    <row r="34" spans="1:14" x14ac:dyDescent="0.2">
      <c r="A34" s="2" t="s">
        <v>30</v>
      </c>
      <c r="B34" s="2" t="s">
        <v>12</v>
      </c>
      <c r="C34" s="3">
        <v>117772.64279949042</v>
      </c>
      <c r="D34" s="3">
        <v>119.21943495984669</v>
      </c>
      <c r="E34" s="3">
        <v>117933.32511962531</v>
      </c>
      <c r="F34" s="3">
        <v>118.74976122031539</v>
      </c>
      <c r="G34" s="3"/>
      <c r="H34" s="3"/>
      <c r="I34" s="3"/>
      <c r="J34" s="3"/>
      <c r="K34" s="4"/>
      <c r="L34" s="4"/>
      <c r="M34" s="4" t="b">
        <v>0</v>
      </c>
      <c r="N34" s="14">
        <v>12</v>
      </c>
    </row>
    <row r="35" spans="1:14" x14ac:dyDescent="0.2">
      <c r="A35" s="2" t="s">
        <v>29</v>
      </c>
      <c r="B35" s="2" t="s">
        <v>14</v>
      </c>
      <c r="C35" s="3">
        <v>117933.32511962531</v>
      </c>
      <c r="D35" s="3">
        <v>118.74976122031539</v>
      </c>
      <c r="E35" s="3">
        <v>118001.66</v>
      </c>
      <c r="F35" s="3">
        <v>118.68</v>
      </c>
      <c r="G35" s="3"/>
      <c r="H35" s="3"/>
      <c r="I35" s="3"/>
      <c r="J35" s="3">
        <v>18000</v>
      </c>
      <c r="K35" s="4" t="s">
        <v>40</v>
      </c>
      <c r="L35" s="4"/>
      <c r="M35" s="4" t="b">
        <v>0</v>
      </c>
      <c r="N35" s="14">
        <v>13</v>
      </c>
    </row>
    <row r="36" spans="1:14" x14ac:dyDescent="0.2">
      <c r="A36" s="2" t="s">
        <v>30</v>
      </c>
      <c r="B36" s="2" t="s">
        <v>12</v>
      </c>
      <c r="C36" s="3">
        <v>118001.66</v>
      </c>
      <c r="D36" s="3">
        <v>118.68</v>
      </c>
      <c r="E36" s="3">
        <v>118138.64000976423</v>
      </c>
      <c r="F36" s="3">
        <v>118.7997561231344</v>
      </c>
      <c r="G36" s="3"/>
      <c r="H36" s="3"/>
      <c r="I36" s="3"/>
      <c r="J36" s="3"/>
      <c r="K36" s="4"/>
      <c r="L36" s="4"/>
      <c r="M36" s="4" t="b">
        <v>0</v>
      </c>
      <c r="N36" s="14">
        <v>14</v>
      </c>
    </row>
  </sheetData>
  <dataValidations disablePrompts="1" count="13">
    <dataValidation type="list" allowBlank="1" showInputMessage="1" showErrorMessage="1" errorTitle="Warning!" error="You must select a valid element type!" sqref="A4:A18 A23:A36" xr:uid="{38A1AB3D-A171-46B9-9161-4C321B7C3451}">
      <formula1>dvElemType</formula1>
    </dataValidation>
    <dataValidation type="list" allowBlank="1" showInputMessage="1" showErrorMessage="1" errorTitle="Warning!" error="You must have an Element Type, an Input Type (that requires this element to be completed), and the entered value must be &quot;InCurve&quot; or &quot;OutCurve&quot;!" sqref="M4:M18" xr:uid="{9CFF594D-C8B0-4B88-B2DD-B9986B27544C}">
      <formula1>dvReversed</formula1>
    </dataValidation>
    <dataValidation allowBlank="1" showInputMessage="1" showErrorMessage="1" errorTitle="Warning!" error="You must have an Element Type, an Input Type (that requires this element to be completed), and the entered value must be &quot;Clockwise&quot; or &quot;Counterclockwise&quot;!" sqref="L4:L18" xr:uid="{7D27074E-77A7-413B-A629-28F7D594DA0C}"/>
    <dataValidation type="custom" showInputMessage="1" showErrorMessage="1" errorTitle="Warning!" error="You must have an Element Type, an Input Type (that requires this element to be completed), and the entered value must be a number!" sqref="E4:E18" xr:uid="{09777220-00D6-4E30-9CB8-A760DB2F436D}">
      <formula1>IF(AND(ISTEXT(A4),ISTEXT(B4)),IF(ISERROR(FIND(VLOOKUP(E$3,DefiningElementsShort,2,FALSE),B4)),ISBLANK(E4),ISNUMBER(E4)),ISBLANK(E4))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H4:H18" xr:uid="{A0C581EE-35F5-48D7-8450-216FAED7ECC8}">
      <formula1>IF(AND(ISTEXT(A4),ISTEXT(B4)),IF(ISERROR(FIND(VLOOKUP(H$3,DefiningElementsShort,2,FALSE),B4)),ISBLANK(H4),ISNUMBER(H4)),ISBLANK(H4))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G4:G18" xr:uid="{0B42B6D1-7A47-4D8B-8C15-23F49F70DBC5}">
      <formula1>IF(AND(ISTEXT(A4),ISTEXT(B4)),IF(ISERROR(FIND(VLOOKUP(G$3,DefiningElementsShort,2,FALSE),B4)),ISBLANK(G4),ISNUMBER(G4)),ISBLANK(G4))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D4:D18" xr:uid="{FD38893B-8271-4358-A04F-9BBC26ECC5B7}">
      <formula1>IF(AND(ISTEXT(A4),ISTEXT(B4)),IF(ISERROR(FIND(VLOOKUP(D$3,DefiningElementsShort,2,FALSE),B4)),ISBLANK(D4),ISNUMBER(D4)),ISBLANK(D4))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F4:F18" xr:uid="{D741D758-E5F2-4FD6-8EE4-C1C648E04E32}">
      <formula1>IF(AND(ISTEXT(A4),ISTEXT(B4)),IF(ISERROR(FIND(VLOOKUP(F$3,DefiningElementsShort,2,FALSE),B4)),ISBLANK(F4),ISNUMBER(F4)),ISBLANK(F4))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C4:C18" xr:uid="{CD083264-D0C6-4289-8DB5-1168495D941A}">
      <formula1>IF(AND(ISTEXT(A4),ISTEXT(B4)),IF(ISERROR(FIND(VLOOKUP(C$3,DefiningElementsShort,2,FALSE),B4)),ISBLANK(C4),ISNUMBER(C4)),ISBLANK(C4))</formula1>
    </dataValidation>
    <dataValidation type="list" allowBlank="1" showInputMessage="1" showErrorMessage="1" errorTitle="Warning!" error="You must have an Element Type, an Input Type (that requires this element to be completed), and the entered value must be &quot;Clockwise&quot; or &quot;Counterclockwise&quot;!" sqref="K4:K18 K23:L36" xr:uid="{A29237F3-0E4C-4CF1-A50D-6ED9C492B870}">
      <formula1>IF(AND(ISTEXT(A4),ISTEXT(B4)),IF(ISERROR(FIND(VLOOKUP(K$3,DefiningElementsShort,2,FALSE),B4)),ISBLANK(K4),dvCurveDir),ISBLANK(K4))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J4:J18" xr:uid="{2477944E-D140-44DE-B653-D702F54AC5EE}">
      <formula1>IF(AND(ISTEXT(A4),ISTEXT(B4)),IF(ISERROR(FIND(VLOOKUP(J$3,DefiningElementsShort,2,FALSE),B4)),ISBLANK(J4),ISNUMBER(J4)),ISBLANK(J4))</formula1>
    </dataValidation>
    <dataValidation type="custom" showInputMessage="1" showErrorMessage="1" errorTitle="Warning!" error="You must have an Element Type, an Input Type (that requires this element to be completed), and the entered value must be a number!" sqref="I4:I18" xr:uid="{8899BA34-1B9E-4A40-B908-3B90EEF86354}">
      <formula1>IF(AND(ISTEXT(A4),ISTEXT(B4)),IF(ISERROR(FIND(VLOOKUP(I$3,DefiningElementsShort,2,FALSE),B4)),ISBLANK(I4),ISNUMBER(I4)),ISBLANK(I4))</formula1>
    </dataValidation>
    <dataValidation type="list" allowBlank="1" showInputMessage="1" showErrorMessage="1" sqref="M23:M36" xr:uid="{C1958929-8350-40F0-9767-D1A0D4E082E2}">
      <formula1>dvReversed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CLs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Warning!" error="You must select a valid input type!" xr:uid="{C9425CBC-0E9C-4480-85BA-8CB005B41F70}">
          <x14:formula1>
            <xm:f>OFFSET(dvCLtbl!$A$2,MATCH(A4,dvCLtbl!$A$3:$A$6,0),1,COUNTIF(dvCLtbl!$A$3:$A$6,A4),1)</xm:f>
          </x14:formula1>
          <xm:sqref>B4:B18 B23:B36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CD05C-ACD0-416F-958A-E99D4EB2E97E}">
  <sheetPr codeName="Sheet1"/>
  <dimension ref="A1:F39"/>
  <sheetViews>
    <sheetView tabSelected="1" workbookViewId="0">
      <selection activeCell="C5" sqref="C5"/>
    </sheetView>
  </sheetViews>
  <sheetFormatPr defaultRowHeight="15" x14ac:dyDescent="0.25"/>
  <cols>
    <col min="1" max="1" width="13.140625" bestFit="1" customWidth="1"/>
    <col min="2" max="2" width="12.42578125" customWidth="1"/>
    <col min="3" max="4" width="12" customWidth="1"/>
    <col min="5" max="5" width="10.5703125" bestFit="1" customWidth="1"/>
    <col min="6" max="6" width="9.42578125" bestFit="1" customWidth="1"/>
    <col min="15" max="15" width="9.140625" customWidth="1"/>
  </cols>
  <sheetData>
    <row r="1" spans="1:6" x14ac:dyDescent="0.25">
      <c r="A1" s="16" t="s">
        <v>49</v>
      </c>
      <c r="B1" t="s">
        <v>48</v>
      </c>
    </row>
    <row r="2" spans="1:6" x14ac:dyDescent="0.25">
      <c r="A2" s="16"/>
    </row>
    <row r="3" spans="1:6" ht="15.75" x14ac:dyDescent="0.25">
      <c r="A3" s="28" t="s">
        <v>50</v>
      </c>
      <c r="B3" s="29"/>
      <c r="C3" s="19" t="s">
        <v>52</v>
      </c>
      <c r="D3" s="20"/>
      <c r="E3" s="20"/>
      <c r="F3" s="21"/>
    </row>
    <row r="4" spans="1:6" x14ac:dyDescent="0.25">
      <c r="A4" s="22" t="s">
        <v>21</v>
      </c>
      <c r="B4" s="23" t="s">
        <v>51</v>
      </c>
      <c r="C4" s="24" t="s">
        <v>53</v>
      </c>
      <c r="D4" s="25"/>
      <c r="E4" s="24" t="s">
        <v>54</v>
      </c>
      <c r="F4" s="25"/>
    </row>
    <row r="5" spans="1:6" x14ac:dyDescent="0.25">
      <c r="A5" s="17">
        <v>115239.069</v>
      </c>
      <c r="B5" s="26">
        <v>-5</v>
      </c>
      <c r="C5" s="17">
        <f t="array" ref="C5:D5">clPntByMeasOffset($B$1,A5,B5)</f>
        <v>198760.47839651414</v>
      </c>
      <c r="D5" s="26">
        <v>304153.40032272332</v>
      </c>
      <c r="E5" s="17">
        <f t="array" ref="E5:F5">clMeasOffsetOfPnt($B$1,C5,D5)</f>
        <v>115239.06900000002</v>
      </c>
      <c r="F5" s="26">
        <v>-4.999999999994448</v>
      </c>
    </row>
    <row r="6" spans="1:6" x14ac:dyDescent="0.25">
      <c r="A6" s="17">
        <v>115493.90399999999</v>
      </c>
      <c r="B6" s="26">
        <v>0</v>
      </c>
      <c r="C6" s="17">
        <f t="array" ref="C6:D6">clPntByMeasOffset($B$1,A6,B6)</f>
        <v>198602.81503845713</v>
      </c>
      <c r="D6" s="26">
        <v>304353.67049711576</v>
      </c>
      <c r="E6" s="17">
        <f t="array" ref="E6:F6">clMeasOffsetOfPnt($B$1,C6,D6)</f>
        <v>115493.90400000001</v>
      </c>
      <c r="F6" s="26">
        <v>1.8392192022772335E-17</v>
      </c>
    </row>
    <row r="7" spans="1:6" x14ac:dyDescent="0.25">
      <c r="A7" s="17">
        <v>115593.90399999999</v>
      </c>
      <c r="B7" s="26">
        <v>5</v>
      </c>
      <c r="C7" s="17">
        <f t="array" ref="C7:D7">clPntByMeasOffset($B$1,A7,B7)</f>
        <v>198542.33579353782</v>
      </c>
      <c r="D7" s="26">
        <v>304433.59862132522</v>
      </c>
      <c r="E7" s="17">
        <f t="array" ref="E7:F7">clMeasOffsetOfPnt($B$1,C7,D7)</f>
        <v>115593.90399999998</v>
      </c>
      <c r="F7" s="26">
        <v>5.0000000000084128</v>
      </c>
    </row>
    <row r="8" spans="1:6" x14ac:dyDescent="0.25">
      <c r="A8" s="17">
        <v>115597.37699999999</v>
      </c>
      <c r="B8" s="26">
        <v>-5</v>
      </c>
      <c r="C8" s="17">
        <f t="array" ref="C8:D8">clPntByMeasOffset($B$1,A8,B8)</f>
        <v>198532.53179175756</v>
      </c>
      <c r="D8" s="26">
        <v>304429.60573531559</v>
      </c>
      <c r="E8" s="17">
        <f t="array" ref="E8:F8">clMeasOffsetOfPnt($B$1,C8,D8)</f>
        <v>115597.37699999998</v>
      </c>
      <c r="F8" s="26">
        <v>-5.0000000000241016</v>
      </c>
    </row>
    <row r="9" spans="1:6" x14ac:dyDescent="0.25">
      <c r="A9" s="17">
        <v>115697.37699999999</v>
      </c>
      <c r="B9" s="26">
        <v>0</v>
      </c>
      <c r="C9" s="17">
        <f t="array" ref="C9:D9">clPntByMeasOffset($B$1,A9,B9)</f>
        <v>198468.53325455246</v>
      </c>
      <c r="D9" s="26">
        <v>304506.45602976333</v>
      </c>
      <c r="E9" s="17">
        <f t="array" ref="E9:F9">clMeasOffsetOfPnt($B$1,C9,D9)</f>
        <v>115697.37699999998</v>
      </c>
      <c r="F9" s="26">
        <v>5.6852382043270581E-17</v>
      </c>
    </row>
    <row r="10" spans="1:6" x14ac:dyDescent="0.25">
      <c r="A10" s="17">
        <v>116285.46400000001</v>
      </c>
      <c r="B10" s="26">
        <v>5</v>
      </c>
      <c r="C10" s="17">
        <f t="array" ref="C10:D10">clPntByMeasOffset($B$1,A10,B10)</f>
        <v>198068.94056142267</v>
      </c>
      <c r="D10" s="26">
        <v>304937.96153281786</v>
      </c>
      <c r="E10" s="17">
        <f t="array" ref="E10:F10">clMeasOffsetOfPnt($B$1,C10,D10)</f>
        <v>116285.46400000004</v>
      </c>
      <c r="F10" s="26">
        <v>5.0000000000140528</v>
      </c>
    </row>
    <row r="11" spans="1:6" x14ac:dyDescent="0.25">
      <c r="A11" s="17">
        <v>116453.783</v>
      </c>
      <c r="B11" s="26">
        <v>-5</v>
      </c>
      <c r="C11" s="17">
        <f t="array" ref="C11:D11">clPntByMeasOffset($B$1,A11,B11)</f>
        <v>197944.32767879285</v>
      </c>
      <c r="D11" s="26">
        <v>305051.54060333251</v>
      </c>
      <c r="E11" s="17">
        <f t="array" ref="E11:F11">clMeasOffsetOfPnt($B$1,C11,D11)</f>
        <v>116453.78300000001</v>
      </c>
      <c r="F11" s="26">
        <v>-5.0000000000292442</v>
      </c>
    </row>
    <row r="12" spans="1:6" x14ac:dyDescent="0.25">
      <c r="A12" s="17">
        <v>116732.629</v>
      </c>
      <c r="B12" s="26">
        <v>0</v>
      </c>
      <c r="C12" s="17">
        <f t="array" ref="C12:D12">clPntByMeasOffset($B$1,A12,B12)</f>
        <v>197749.93081828533</v>
      </c>
      <c r="D12" s="26">
        <v>305251.51548260695</v>
      </c>
      <c r="E12" s="17">
        <f t="array" ref="E12:F12">clMeasOffsetOfPnt($B$1,C12,D12)</f>
        <v>116732.62900000002</v>
      </c>
      <c r="F12" s="26">
        <v>0</v>
      </c>
    </row>
    <row r="13" spans="1:6" x14ac:dyDescent="0.25">
      <c r="A13" s="17">
        <v>116852.629</v>
      </c>
      <c r="B13" s="26">
        <v>5</v>
      </c>
      <c r="C13" s="17">
        <f t="array" ref="C13:D13">clPntByMeasOffset($B$1,A13,B13)</f>
        <v>197671.04681228509</v>
      </c>
      <c r="D13" s="26">
        <v>305341.65092773887</v>
      </c>
      <c r="E13" s="17">
        <f t="array" ref="E13:F13">clMeasOffsetOfPnt($B$1,C13,D13)</f>
        <v>116852.62899999622</v>
      </c>
      <c r="F13" s="26">
        <v>5.0000000006066179</v>
      </c>
    </row>
    <row r="14" spans="1:6" x14ac:dyDescent="0.25">
      <c r="A14" s="17">
        <v>116857.323</v>
      </c>
      <c r="B14" s="26">
        <v>-5</v>
      </c>
      <c r="C14" s="17">
        <f t="array" ref="C14:D14">clPntByMeasOffset($B$1,A14,B14)</f>
        <v>197660.37472467058</v>
      </c>
      <c r="D14" s="26">
        <v>305338.79783742689</v>
      </c>
      <c r="E14" s="17">
        <f t="array" ref="E14:F14">clMeasOffsetOfPnt($B$1,C14,D14)</f>
        <v>116857.323</v>
      </c>
      <c r="F14" s="26">
        <v>-5.0000000000078444</v>
      </c>
    </row>
    <row r="15" spans="1:6" x14ac:dyDescent="0.25">
      <c r="A15" s="17">
        <v>116977.323</v>
      </c>
      <c r="B15" s="26">
        <v>0</v>
      </c>
      <c r="C15" s="17">
        <f t="array" ref="C15:D15">clPntByMeasOffset($B$1,A15,B15)</f>
        <v>197592.60588955472</v>
      </c>
      <c r="D15" s="26">
        <v>305438.25372939429</v>
      </c>
      <c r="E15" s="17">
        <f t="array" ref="E15:F15">clMeasOffsetOfPnt($B$1,C15,D15)</f>
        <v>116977.32300000002</v>
      </c>
      <c r="F15" s="26">
        <v>-7.1557562928631104E-17</v>
      </c>
    </row>
    <row r="16" spans="1:6" x14ac:dyDescent="0.25">
      <c r="A16" s="17">
        <v>117255.534</v>
      </c>
      <c r="B16" s="26">
        <v>5</v>
      </c>
      <c r="C16" s="17">
        <f t="array" ref="C16:D16">clPntByMeasOffset($B$1,A16,B16)</f>
        <v>197437.08383192233</v>
      </c>
      <c r="D16" s="26">
        <v>305668.99005100573</v>
      </c>
      <c r="E16" s="17">
        <f t="array" ref="E16:F16">clMeasOffsetOfPnt($B$1,C16,D16)</f>
        <v>117255.53400000001</v>
      </c>
      <c r="F16" s="26">
        <v>5.0000000000360671</v>
      </c>
    </row>
    <row r="17" spans="1:6" x14ac:dyDescent="0.25">
      <c r="A17" s="17">
        <v>117355.534</v>
      </c>
      <c r="B17" s="26">
        <v>-5</v>
      </c>
      <c r="C17" s="17">
        <f t="array" ref="C17:D17">clPntByMeasOffset($B$1,A17,B17)</f>
        <v>197370.59250159288</v>
      </c>
      <c r="D17" s="26">
        <v>305744.2544761817</v>
      </c>
      <c r="E17" s="17">
        <f t="array" ref="E17:F17">clMeasOffsetOfPnt($B$1,C17,D17)</f>
        <v>117355.53399999683</v>
      </c>
      <c r="F17" s="26">
        <v>-5.0000000002633334</v>
      </c>
    </row>
    <row r="18" spans="1:6" x14ac:dyDescent="0.25">
      <c r="A18" s="17">
        <v>117411.38800000001</v>
      </c>
      <c r="B18" s="26">
        <v>0</v>
      </c>
      <c r="C18" s="17">
        <f t="array" ref="C18:D18">clPntByMeasOffset($B$1,A18,B18)</f>
        <v>197339.84909530354</v>
      </c>
      <c r="D18" s="26">
        <v>305791.02018510795</v>
      </c>
      <c r="E18" s="17">
        <f t="array" ref="E18:F18">clMeasOffsetOfPnt($B$1,C18,D18)</f>
        <v>117411.38800000001</v>
      </c>
      <c r="F18" s="26">
        <v>4.0927261579781771E-12</v>
      </c>
    </row>
    <row r="19" spans="1:6" x14ac:dyDescent="0.25">
      <c r="A19" s="18">
        <v>117511.38800000001</v>
      </c>
      <c r="B19" s="27">
        <v>5</v>
      </c>
      <c r="C19" s="18">
        <f t="array" ref="C19:D19">clPntByMeasOffset($B$1,A19,B19)</f>
        <v>197277.77934793639</v>
      </c>
      <c r="D19" s="27">
        <v>305869.65762426466</v>
      </c>
      <c r="E19" s="18">
        <f t="array" ref="E19:F19">clMeasOffsetOfPnt($B$1,C19,D19)</f>
        <v>117511.38799999625</v>
      </c>
      <c r="F19" s="27">
        <v>5.0000000000092033</v>
      </c>
    </row>
    <row r="22" spans="1:6" x14ac:dyDescent="0.25">
      <c r="A22" s="16" t="s">
        <v>55</v>
      </c>
      <c r="B22" t="s">
        <v>56</v>
      </c>
    </row>
    <row r="24" spans="1:6" ht="15.75" x14ac:dyDescent="0.25">
      <c r="A24" s="28" t="s">
        <v>50</v>
      </c>
      <c r="B24" s="30" t="s">
        <v>52</v>
      </c>
    </row>
    <row r="25" spans="1:6" x14ac:dyDescent="0.25">
      <c r="A25" s="22" t="s">
        <v>21</v>
      </c>
      <c r="B25" s="31" t="s">
        <v>57</v>
      </c>
    </row>
    <row r="26" spans="1:6" x14ac:dyDescent="0.25">
      <c r="A26" s="17">
        <v>115839.62236493955</v>
      </c>
      <c r="B26" s="32">
        <f>clYatX($B$22,A26)</f>
        <v>148.15905552272966</v>
      </c>
    </row>
    <row r="27" spans="1:6" x14ac:dyDescent="0.25">
      <c r="A27" s="17">
        <v>116186.6</v>
      </c>
      <c r="B27" s="32">
        <f t="shared" ref="B27:B39" si="0">clYatX($B$22,A27)</f>
        <v>134.83000000000001</v>
      </c>
    </row>
    <row r="28" spans="1:6" x14ac:dyDescent="0.25">
      <c r="A28" s="17">
        <v>116439.34891801843</v>
      </c>
      <c r="B28" s="32">
        <f t="shared" si="0"/>
        <v>124.32267113783018</v>
      </c>
    </row>
    <row r="29" spans="1:6" x14ac:dyDescent="0.25">
      <c r="A29" s="17">
        <v>116474.74337778642</v>
      </c>
      <c r="B29" s="32">
        <f t="shared" si="0"/>
        <v>122.73941985211033</v>
      </c>
    </row>
    <row r="30" spans="1:6" x14ac:dyDescent="0.25">
      <c r="A30" s="17">
        <v>116733.13323057091</v>
      </c>
      <c r="B30" s="32">
        <f t="shared" si="0"/>
        <v>123.09943157847783</v>
      </c>
    </row>
    <row r="31" spans="1:6" x14ac:dyDescent="0.25">
      <c r="A31" s="17">
        <v>116884.13751767408</v>
      </c>
      <c r="B31" s="32">
        <f t="shared" si="0"/>
        <v>127.99610600662982</v>
      </c>
    </row>
    <row r="32" spans="1:6" x14ac:dyDescent="0.25">
      <c r="A32" s="17">
        <v>117069.03137735417</v>
      </c>
      <c r="B32" s="32">
        <f t="shared" si="0"/>
        <v>131.20150777444383</v>
      </c>
    </row>
    <row r="33" spans="1:2" x14ac:dyDescent="0.25">
      <c r="A33" s="17">
        <v>117360.0320806868</v>
      </c>
      <c r="B33" s="32">
        <f t="shared" si="0"/>
        <v>129.52548060616664</v>
      </c>
    </row>
    <row r="34" spans="1:2" x14ac:dyDescent="0.25">
      <c r="A34" s="17">
        <v>117473.54</v>
      </c>
      <c r="B34" s="32">
        <f t="shared" si="0"/>
        <v>126.25</v>
      </c>
    </row>
    <row r="35" spans="1:2" x14ac:dyDescent="0.25">
      <c r="A35" s="17">
        <v>117511.0876523788</v>
      </c>
      <c r="B35" s="32">
        <f t="shared" si="0"/>
        <v>125.13077500842337</v>
      </c>
    </row>
    <row r="36" spans="1:2" x14ac:dyDescent="0.25">
      <c r="A36" s="17">
        <v>117619.65621049452</v>
      </c>
      <c r="B36" s="32">
        <f t="shared" si="0"/>
        <v>121.79355934905301</v>
      </c>
    </row>
    <row r="37" spans="1:2" x14ac:dyDescent="0.25">
      <c r="A37" s="17">
        <v>117772.64279949042</v>
      </c>
      <c r="B37" s="32">
        <f t="shared" si="0"/>
        <v>119.21943495984578</v>
      </c>
    </row>
    <row r="38" spans="1:2" x14ac:dyDescent="0.25">
      <c r="A38" s="17">
        <v>117933.32511962531</v>
      </c>
      <c r="B38" s="32">
        <f t="shared" si="0"/>
        <v>118.74976122031539</v>
      </c>
    </row>
    <row r="39" spans="1:2" x14ac:dyDescent="0.25">
      <c r="A39" s="18">
        <v>118001.66</v>
      </c>
      <c r="B39" s="33">
        <f t="shared" si="0"/>
        <v>118.67999999999665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07DA2-F432-4D30-B40B-3468EFC8E58E}">
  <sheetPr codeName="Sheet5"/>
  <dimension ref="A1:M51"/>
  <sheetViews>
    <sheetView topLeftCell="B1" workbookViewId="0">
      <selection activeCell="Y21" sqref="Y21"/>
    </sheetView>
  </sheetViews>
  <sheetFormatPr defaultRowHeight="15" x14ac:dyDescent="0.25"/>
  <cols>
    <col min="1" max="3" width="9.42578125" customWidth="1"/>
    <col min="9" max="9" width="36" bestFit="1" customWidth="1"/>
    <col min="10" max="13" width="10.5703125" customWidth="1"/>
  </cols>
  <sheetData>
    <row r="1" spans="1:13" x14ac:dyDescent="0.25">
      <c r="A1" s="16" t="s">
        <v>90</v>
      </c>
    </row>
    <row r="3" spans="1:13" ht="15.75" x14ac:dyDescent="0.25">
      <c r="A3" s="66" t="s">
        <v>50</v>
      </c>
      <c r="B3" s="46"/>
      <c r="C3" s="46"/>
      <c r="D3" s="46"/>
      <c r="E3" s="46"/>
      <c r="F3" s="46"/>
      <c r="G3" s="46"/>
      <c r="H3" s="46"/>
      <c r="I3" s="65" t="s">
        <v>61</v>
      </c>
      <c r="J3" s="88" t="s">
        <v>52</v>
      </c>
      <c r="K3" s="89"/>
      <c r="L3" s="89"/>
      <c r="M3" s="90"/>
    </row>
    <row r="4" spans="1:13" ht="15" customHeight="1" x14ac:dyDescent="0.25">
      <c r="A4" s="71" t="s">
        <v>91</v>
      </c>
      <c r="B4" s="72" t="s">
        <v>92</v>
      </c>
      <c r="C4" s="72" t="s">
        <v>93</v>
      </c>
      <c r="D4" s="73" t="s">
        <v>94</v>
      </c>
      <c r="E4" s="48"/>
      <c r="F4" s="48"/>
      <c r="G4" s="48"/>
      <c r="H4" s="48"/>
      <c r="I4" s="67"/>
      <c r="J4" s="80"/>
      <c r="K4" s="86"/>
      <c r="L4" s="86"/>
      <c r="M4" s="68"/>
    </row>
    <row r="5" spans="1:13" x14ac:dyDescent="0.25">
      <c r="A5" s="44">
        <v>0</v>
      </c>
      <c r="B5" s="43">
        <v>0</v>
      </c>
      <c r="C5" s="43">
        <v>3</v>
      </c>
      <c r="D5" s="45">
        <v>4</v>
      </c>
      <c r="E5" s="35"/>
      <c r="F5" s="35"/>
      <c r="G5" s="35"/>
      <c r="H5" s="35"/>
      <c r="I5" s="40" t="s">
        <v>95</v>
      </c>
      <c r="J5" s="34"/>
      <c r="K5" s="35"/>
      <c r="L5" s="43"/>
      <c r="M5" s="45">
        <f>cgDist2D(A5,B5,C5,D5)</f>
        <v>5</v>
      </c>
    </row>
    <row r="6" spans="1:13" x14ac:dyDescent="0.25">
      <c r="A6" s="34">
        <v>0</v>
      </c>
      <c r="B6" s="35">
        <v>0</v>
      </c>
      <c r="C6" s="35">
        <v>1</v>
      </c>
      <c r="D6" s="36">
        <v>0</v>
      </c>
      <c r="E6" s="35"/>
      <c r="F6" s="35"/>
      <c r="G6" s="35"/>
      <c r="H6" s="35"/>
      <c r="I6" s="40" t="s">
        <v>98</v>
      </c>
      <c r="J6" s="34"/>
      <c r="K6" s="35"/>
      <c r="L6" s="35"/>
      <c r="M6" s="36">
        <f>cgTheta(A6,B6,C6,D6)</f>
        <v>0</v>
      </c>
    </row>
    <row r="7" spans="1:13" x14ac:dyDescent="0.25">
      <c r="A7" s="34">
        <v>0</v>
      </c>
      <c r="B7" s="35">
        <v>0</v>
      </c>
      <c r="C7" s="35">
        <v>-1</v>
      </c>
      <c r="D7" s="36">
        <v>0</v>
      </c>
      <c r="E7" s="35"/>
      <c r="F7" s="35"/>
      <c r="G7" s="35"/>
      <c r="H7" s="35"/>
      <c r="I7" s="40" t="s">
        <v>99</v>
      </c>
      <c r="J7" s="34"/>
      <c r="K7" s="35"/>
      <c r="L7" s="35"/>
      <c r="M7" s="36">
        <f>cgTheta(A7,B7,C7,D7)</f>
        <v>3.14159265358979</v>
      </c>
    </row>
    <row r="8" spans="1:13" x14ac:dyDescent="0.25">
      <c r="A8" s="34">
        <v>0</v>
      </c>
      <c r="B8" s="35">
        <v>0</v>
      </c>
      <c r="C8" s="35">
        <v>0</v>
      </c>
      <c r="D8" s="36">
        <v>1</v>
      </c>
      <c r="E8" s="35"/>
      <c r="F8" s="35"/>
      <c r="G8" s="35"/>
      <c r="H8" s="35"/>
      <c r="I8" s="40" t="s">
        <v>100</v>
      </c>
      <c r="J8" s="34"/>
      <c r="K8" s="35"/>
      <c r="L8" s="35"/>
      <c r="M8" s="36">
        <f>cgTheta(A8,B8,C8,D8)</f>
        <v>1.570796326794895</v>
      </c>
    </row>
    <row r="9" spans="1:13" x14ac:dyDescent="0.25">
      <c r="A9" s="34">
        <v>0</v>
      </c>
      <c r="B9" s="35">
        <v>0</v>
      </c>
      <c r="C9" s="35">
        <v>0</v>
      </c>
      <c r="D9" s="36">
        <v>-1</v>
      </c>
      <c r="E9" s="35"/>
      <c r="F9" s="35"/>
      <c r="G9" s="35"/>
      <c r="H9" s="35"/>
      <c r="I9" s="40" t="s">
        <v>101</v>
      </c>
      <c r="J9" s="34"/>
      <c r="K9" s="35"/>
      <c r="L9" s="35"/>
      <c r="M9" s="36">
        <f>cgTheta(A9,B9,C9,D9)</f>
        <v>-1.570796326794895</v>
      </c>
    </row>
    <row r="10" spans="1:13" x14ac:dyDescent="0.25">
      <c r="A10" s="71" t="s">
        <v>91</v>
      </c>
      <c r="B10" s="72" t="s">
        <v>92</v>
      </c>
      <c r="C10" s="72" t="s">
        <v>96</v>
      </c>
      <c r="D10" s="72" t="s">
        <v>93</v>
      </c>
      <c r="E10" s="72" t="s">
        <v>94</v>
      </c>
      <c r="F10" s="74" t="s">
        <v>97</v>
      </c>
      <c r="G10" s="48"/>
      <c r="H10" s="48"/>
      <c r="I10" s="62"/>
      <c r="J10" s="59"/>
      <c r="K10" s="53"/>
      <c r="L10" s="53"/>
      <c r="M10" s="54"/>
    </row>
    <row r="11" spans="1:13" x14ac:dyDescent="0.25">
      <c r="A11" s="44">
        <v>5</v>
      </c>
      <c r="B11" s="43">
        <v>4</v>
      </c>
      <c r="C11" s="43">
        <v>0</v>
      </c>
      <c r="D11" s="43">
        <v>1</v>
      </c>
      <c r="E11" s="43">
        <v>2</v>
      </c>
      <c r="F11" s="75">
        <v>4</v>
      </c>
      <c r="G11" s="48"/>
      <c r="H11" s="48"/>
      <c r="I11" s="40" t="s">
        <v>102</v>
      </c>
      <c r="J11" s="34"/>
      <c r="K11" s="35"/>
      <c r="L11" s="53"/>
      <c r="M11" s="36">
        <f>cgDist3D(A11,B11,C11,D11,E11,F11)</f>
        <v>6</v>
      </c>
    </row>
    <row r="12" spans="1:13" x14ac:dyDescent="0.25">
      <c r="A12" s="71" t="s">
        <v>91</v>
      </c>
      <c r="B12" s="72" t="s">
        <v>92</v>
      </c>
      <c r="C12" s="72" t="s">
        <v>93</v>
      </c>
      <c r="D12" s="72" t="s">
        <v>94</v>
      </c>
      <c r="E12" s="72" t="s">
        <v>58</v>
      </c>
      <c r="F12" s="76" t="s">
        <v>59</v>
      </c>
      <c r="G12" s="47"/>
      <c r="H12" s="49"/>
      <c r="I12" s="62"/>
      <c r="J12" s="59"/>
      <c r="K12" s="53"/>
      <c r="L12" s="53"/>
      <c r="M12" s="54"/>
    </row>
    <row r="13" spans="1:13" x14ac:dyDescent="0.25">
      <c r="A13" s="44">
        <v>0</v>
      </c>
      <c r="B13" s="43">
        <v>0</v>
      </c>
      <c r="C13" s="43">
        <v>2</v>
      </c>
      <c r="D13" s="43">
        <v>0</v>
      </c>
      <c r="E13" s="56">
        <v>1</v>
      </c>
      <c r="F13" s="75">
        <v>0</v>
      </c>
      <c r="G13" s="81"/>
      <c r="H13" s="75"/>
      <c r="I13" s="40" t="s">
        <v>104</v>
      </c>
      <c r="J13" s="34"/>
      <c r="K13" s="35"/>
      <c r="L13" s="35"/>
      <c r="M13" s="36">
        <f>cgSide(A13,B13,C13,D13,E13,F13)</f>
        <v>0</v>
      </c>
    </row>
    <row r="14" spans="1:13" x14ac:dyDescent="0.25">
      <c r="A14" s="34">
        <v>0</v>
      </c>
      <c r="B14" s="35">
        <v>0</v>
      </c>
      <c r="C14" s="35">
        <v>2</v>
      </c>
      <c r="D14" s="35">
        <v>0</v>
      </c>
      <c r="E14" s="55">
        <v>1</v>
      </c>
      <c r="F14" s="77">
        <v>9.9999999999999998E-17</v>
      </c>
      <c r="G14" s="82"/>
      <c r="H14" s="77"/>
      <c r="I14" s="40" t="s">
        <v>103</v>
      </c>
      <c r="J14" s="34"/>
      <c r="K14" s="35"/>
      <c r="L14" s="35"/>
      <c r="M14" s="36">
        <f>cgSide(A14,B14,C14,D14,E14,F14)</f>
        <v>0</v>
      </c>
    </row>
    <row r="15" spans="1:13" x14ac:dyDescent="0.25">
      <c r="A15" s="34">
        <v>0</v>
      </c>
      <c r="B15" s="35">
        <v>0</v>
      </c>
      <c r="C15" s="35">
        <v>2</v>
      </c>
      <c r="D15" s="35">
        <v>0</v>
      </c>
      <c r="E15" s="55">
        <v>4</v>
      </c>
      <c r="F15" s="78">
        <v>0</v>
      </c>
      <c r="G15" s="83"/>
      <c r="H15" s="78"/>
      <c r="I15" s="40" t="s">
        <v>105</v>
      </c>
      <c r="J15" s="34"/>
      <c r="K15" s="35"/>
      <c r="L15" s="35"/>
      <c r="M15" s="36">
        <f>cgSide(A15,B15,C15,D15,E15,F15)</f>
        <v>0</v>
      </c>
    </row>
    <row r="16" spans="1:13" x14ac:dyDescent="0.25">
      <c r="A16" s="34">
        <v>0</v>
      </c>
      <c r="B16" s="35">
        <v>0</v>
      </c>
      <c r="C16" s="35">
        <v>2</v>
      </c>
      <c r="D16" s="35">
        <v>0</v>
      </c>
      <c r="E16" s="55">
        <v>1</v>
      </c>
      <c r="F16" s="78">
        <v>1</v>
      </c>
      <c r="G16" s="83"/>
      <c r="H16" s="78"/>
      <c r="I16" s="40" t="s">
        <v>106</v>
      </c>
      <c r="J16" s="34"/>
      <c r="K16" s="35"/>
      <c r="L16" s="35"/>
      <c r="M16" s="36">
        <f>cgSide(A16,B16,C16,D16,E16,F16)</f>
        <v>-1</v>
      </c>
    </row>
    <row r="17" spans="1:13" x14ac:dyDescent="0.25">
      <c r="A17" s="37">
        <v>0</v>
      </c>
      <c r="B17" s="38">
        <v>0</v>
      </c>
      <c r="C17" s="38">
        <v>2</v>
      </c>
      <c r="D17" s="38">
        <v>0</v>
      </c>
      <c r="E17" s="57">
        <v>1</v>
      </c>
      <c r="F17" s="79">
        <v>-1</v>
      </c>
      <c r="G17" s="83"/>
      <c r="H17" s="78"/>
      <c r="I17" s="40" t="s">
        <v>107</v>
      </c>
      <c r="J17" s="34"/>
      <c r="K17" s="35"/>
      <c r="L17" s="35"/>
      <c r="M17" s="36">
        <f>cgSide(A17,B17,C17,D17,E17,F17)</f>
        <v>1</v>
      </c>
    </row>
    <row r="18" spans="1:13" x14ac:dyDescent="0.25">
      <c r="A18" s="47" t="s">
        <v>58</v>
      </c>
      <c r="B18" s="48" t="s">
        <v>59</v>
      </c>
      <c r="C18" s="48" t="s">
        <v>91</v>
      </c>
      <c r="D18" s="48" t="s">
        <v>92</v>
      </c>
      <c r="E18" s="48" t="s">
        <v>93</v>
      </c>
      <c r="F18" s="70" t="s">
        <v>94</v>
      </c>
      <c r="G18" s="84"/>
      <c r="H18" s="70"/>
      <c r="I18" s="62"/>
      <c r="J18" s="59"/>
      <c r="K18" s="53"/>
      <c r="L18" s="53"/>
      <c r="M18" s="54"/>
    </row>
    <row r="19" spans="1:13" x14ac:dyDescent="0.25">
      <c r="A19" s="34">
        <v>1</v>
      </c>
      <c r="B19" s="35">
        <v>1</v>
      </c>
      <c r="C19" s="35">
        <v>0</v>
      </c>
      <c r="D19" s="35">
        <v>0</v>
      </c>
      <c r="E19" s="55">
        <v>2</v>
      </c>
      <c r="F19" s="78">
        <v>2</v>
      </c>
      <c r="G19" s="83"/>
      <c r="H19" s="78"/>
      <c r="I19" s="40" t="s">
        <v>108</v>
      </c>
      <c r="J19" s="34"/>
      <c r="K19" s="35"/>
      <c r="L19" s="35"/>
      <c r="M19" s="36" t="b">
        <f>cgCooInBB(A19,B19,C19,D19,E19,F19)</f>
        <v>1</v>
      </c>
    </row>
    <row r="20" spans="1:13" x14ac:dyDescent="0.25">
      <c r="A20" s="34">
        <v>-1</v>
      </c>
      <c r="B20" s="35">
        <v>-1</v>
      </c>
      <c r="C20" s="35">
        <v>0</v>
      </c>
      <c r="D20" s="35">
        <v>0</v>
      </c>
      <c r="E20" s="55">
        <v>-2</v>
      </c>
      <c r="F20" s="78">
        <v>-2</v>
      </c>
      <c r="G20" s="83"/>
      <c r="H20" s="78"/>
      <c r="I20" s="40" t="s">
        <v>108</v>
      </c>
      <c r="J20" s="34"/>
      <c r="K20" s="35"/>
      <c r="L20" s="35"/>
      <c r="M20" s="36" t="b">
        <f>cgCooInBB(A20,B20,C20,D20,E20,F20)</f>
        <v>1</v>
      </c>
    </row>
    <row r="21" spans="1:13" x14ac:dyDescent="0.25">
      <c r="A21" s="34">
        <v>3</v>
      </c>
      <c r="B21" s="35">
        <v>3</v>
      </c>
      <c r="C21" s="35">
        <v>0</v>
      </c>
      <c r="D21" s="35">
        <v>0</v>
      </c>
      <c r="E21" s="55">
        <v>2</v>
      </c>
      <c r="F21" s="78">
        <v>2</v>
      </c>
      <c r="G21" s="83"/>
      <c r="H21" s="78"/>
      <c r="I21" s="40" t="s">
        <v>109</v>
      </c>
      <c r="J21" s="34"/>
      <c r="K21" s="35"/>
      <c r="L21" s="35"/>
      <c r="M21" s="36" t="b">
        <f>cgCooInBB(A21,B21,C21,D21,E21,F21)</f>
        <v>0</v>
      </c>
    </row>
    <row r="22" spans="1:13" x14ac:dyDescent="0.25">
      <c r="A22" s="37">
        <v>-3</v>
      </c>
      <c r="B22" s="38">
        <v>-3</v>
      </c>
      <c r="C22" s="38">
        <v>0</v>
      </c>
      <c r="D22" s="38">
        <v>0</v>
      </c>
      <c r="E22" s="57">
        <v>-2</v>
      </c>
      <c r="F22" s="79">
        <v>-2</v>
      </c>
      <c r="G22" s="85"/>
      <c r="H22" s="79"/>
      <c r="I22" s="41" t="s">
        <v>109</v>
      </c>
      <c r="J22" s="37"/>
      <c r="K22" s="38"/>
      <c r="L22" s="38"/>
      <c r="M22" s="39" t="b">
        <f>cgCooInBB(A22,B22,C22,D22,E22,F22)</f>
        <v>0</v>
      </c>
    </row>
    <row r="23" spans="1:13" x14ac:dyDescent="0.25">
      <c r="A23" s="47" t="s">
        <v>91</v>
      </c>
      <c r="B23" s="48" t="s">
        <v>92</v>
      </c>
      <c r="C23" s="48" t="s">
        <v>93</v>
      </c>
      <c r="D23" s="48" t="s">
        <v>94</v>
      </c>
      <c r="E23" s="48" t="s">
        <v>110</v>
      </c>
      <c r="F23" s="69" t="s">
        <v>111</v>
      </c>
      <c r="G23" s="69" t="s">
        <v>112</v>
      </c>
      <c r="H23" s="70" t="s">
        <v>113</v>
      </c>
      <c r="I23" s="62"/>
      <c r="J23" s="59"/>
      <c r="K23" s="53"/>
      <c r="L23" s="53"/>
      <c r="M23" s="54"/>
    </row>
    <row r="24" spans="1:13" x14ac:dyDescent="0.25">
      <c r="A24" s="81">
        <v>0</v>
      </c>
      <c r="B24" s="56">
        <v>0</v>
      </c>
      <c r="C24" s="56">
        <v>2</v>
      </c>
      <c r="D24" s="56">
        <v>2</v>
      </c>
      <c r="E24" s="56">
        <v>0</v>
      </c>
      <c r="F24" s="56">
        <v>2</v>
      </c>
      <c r="G24" s="56">
        <v>2</v>
      </c>
      <c r="H24" s="56">
        <v>0</v>
      </c>
      <c r="I24" s="61" t="s">
        <v>114</v>
      </c>
      <c r="J24" s="81"/>
      <c r="K24" s="56"/>
      <c r="L24" s="43">
        <f t="array" ref="L24:M24">cgIntLSbyCoo(A24,B24,C24,D24,E24,F24,G24,H24)</f>
        <v>1</v>
      </c>
      <c r="M24" s="45">
        <v>1</v>
      </c>
    </row>
    <row r="25" spans="1:13" x14ac:dyDescent="0.25">
      <c r="A25" s="85">
        <v>0</v>
      </c>
      <c r="B25" s="57">
        <v>0</v>
      </c>
      <c r="C25" s="57">
        <v>2</v>
      </c>
      <c r="D25" s="57">
        <v>0</v>
      </c>
      <c r="E25" s="57">
        <v>0</v>
      </c>
      <c r="F25" s="57">
        <v>2</v>
      </c>
      <c r="G25" s="57">
        <v>2</v>
      </c>
      <c r="H25" s="57">
        <v>2</v>
      </c>
      <c r="I25" s="64" t="s">
        <v>115</v>
      </c>
      <c r="J25" s="85"/>
      <c r="K25" s="57"/>
      <c r="L25" s="38" t="e">
        <f t="array" ref="L25:M25">cgIntLSbyCoo(A25,B25,C25,D25,E25,F25,G25,H25)</f>
        <v>#N/A</v>
      </c>
      <c r="M25" s="39" t="e">
        <v>#N/A</v>
      </c>
    </row>
    <row r="26" spans="1:13" x14ac:dyDescent="0.25">
      <c r="A26" s="47" t="s">
        <v>91</v>
      </c>
      <c r="B26" s="48" t="s">
        <v>92</v>
      </c>
      <c r="C26" s="48" t="s">
        <v>116</v>
      </c>
      <c r="D26" s="48" t="s">
        <v>93</v>
      </c>
      <c r="E26" s="48" t="s">
        <v>94</v>
      </c>
      <c r="F26" s="70" t="s">
        <v>117</v>
      </c>
      <c r="G26" s="84"/>
      <c r="H26" s="70"/>
      <c r="I26" s="62"/>
      <c r="J26" s="59"/>
      <c r="K26" s="53"/>
      <c r="L26" s="53"/>
      <c r="M26" s="54"/>
    </row>
    <row r="27" spans="1:13" x14ac:dyDescent="0.25">
      <c r="A27" s="81">
        <v>0</v>
      </c>
      <c r="B27" s="56">
        <v>0</v>
      </c>
      <c r="C27" s="56">
        <v>0</v>
      </c>
      <c r="D27" s="56">
        <v>1</v>
      </c>
      <c r="E27" s="56">
        <v>1</v>
      </c>
      <c r="F27" s="45">
        <f>-PI()/2</f>
        <v>-1.5707963267948966</v>
      </c>
      <c r="G27" s="43"/>
      <c r="H27" s="43"/>
      <c r="I27" s="61" t="s">
        <v>118</v>
      </c>
      <c r="J27" s="81"/>
      <c r="K27" s="56"/>
      <c r="L27" s="43">
        <f t="array" ref="L27:M27">cgIntLbyCooAndTh(A27,B27,C27,D27,E27,F27)</f>
        <v>1</v>
      </c>
      <c r="M27" s="45">
        <v>0</v>
      </c>
    </row>
    <row r="28" spans="1:13" x14ac:dyDescent="0.25">
      <c r="A28" s="83">
        <v>0</v>
      </c>
      <c r="B28" s="55">
        <v>0</v>
      </c>
      <c r="C28" s="55">
        <f>PI()/4</f>
        <v>0.78539816339744828</v>
      </c>
      <c r="D28" s="55">
        <v>0</v>
      </c>
      <c r="E28" s="55">
        <v>2</v>
      </c>
      <c r="F28" s="36">
        <f>-PI()/4</f>
        <v>-0.78539816339744828</v>
      </c>
      <c r="G28" s="35"/>
      <c r="H28" s="35"/>
      <c r="I28" s="63" t="s">
        <v>118</v>
      </c>
      <c r="J28" s="83"/>
      <c r="K28" s="55"/>
      <c r="L28" s="35">
        <f t="array" ref="L28:M28">cgIntLbyCooAndTh(A28,B28,C28,D28,E28,F28)</f>
        <v>1</v>
      </c>
      <c r="M28" s="36">
        <v>1</v>
      </c>
    </row>
    <row r="29" spans="1:13" x14ac:dyDescent="0.25">
      <c r="A29" s="85">
        <v>0</v>
      </c>
      <c r="B29" s="57">
        <v>0</v>
      </c>
      <c r="C29" s="57">
        <v>0</v>
      </c>
      <c r="D29" s="57">
        <v>0</v>
      </c>
      <c r="E29" s="57">
        <v>2</v>
      </c>
      <c r="F29" s="79">
        <v>0</v>
      </c>
      <c r="G29" s="38"/>
      <c r="H29" s="38"/>
      <c r="I29" s="64" t="s">
        <v>119</v>
      </c>
      <c r="J29" s="85"/>
      <c r="K29" s="57"/>
      <c r="L29" s="38" t="e">
        <f t="array" ref="L29:M29">cgIntLbyCooAndTh(A29,B29,C29,D29,E29,F29)</f>
        <v>#N/A</v>
      </c>
      <c r="M29" s="39" t="e">
        <v>#N/A</v>
      </c>
    </row>
    <row r="30" spans="1:13" x14ac:dyDescent="0.25">
      <c r="A30" s="47" t="s">
        <v>91</v>
      </c>
      <c r="B30" s="48" t="s">
        <v>92</v>
      </c>
      <c r="C30" s="48" t="s">
        <v>120</v>
      </c>
      <c r="D30" s="48" t="s">
        <v>121</v>
      </c>
      <c r="E30" s="48" t="s">
        <v>93</v>
      </c>
      <c r="F30" s="69" t="s">
        <v>94</v>
      </c>
      <c r="G30" s="69" t="s">
        <v>122</v>
      </c>
      <c r="H30" s="70" t="s">
        <v>123</v>
      </c>
      <c r="I30" s="62"/>
      <c r="J30" s="59"/>
      <c r="K30" s="53"/>
      <c r="L30" s="53"/>
      <c r="M30" s="54"/>
    </row>
    <row r="31" spans="1:13" x14ac:dyDescent="0.25">
      <c r="A31" s="83">
        <v>0</v>
      </c>
      <c r="B31" s="55">
        <v>0</v>
      </c>
      <c r="C31" s="35">
        <v>1</v>
      </c>
      <c r="D31" s="55">
        <v>1</v>
      </c>
      <c r="E31" s="55">
        <v>0</v>
      </c>
      <c r="F31" s="55">
        <v>2</v>
      </c>
      <c r="G31" s="55">
        <v>1</v>
      </c>
      <c r="H31" s="55">
        <v>-1</v>
      </c>
      <c r="I31" s="63" t="s">
        <v>124</v>
      </c>
      <c r="J31" s="83"/>
      <c r="K31" s="55"/>
      <c r="L31" s="35">
        <f t="array" ref="L31:M31">cgIntLbyCooAndDs(A31,B31,C31,D31,E31,F31,G31,H31)</f>
        <v>1</v>
      </c>
      <c r="M31" s="36">
        <v>1</v>
      </c>
    </row>
    <row r="32" spans="1:13" x14ac:dyDescent="0.25">
      <c r="A32" s="85">
        <v>0</v>
      </c>
      <c r="B32" s="57">
        <v>0</v>
      </c>
      <c r="C32" s="38">
        <v>1</v>
      </c>
      <c r="D32" s="57">
        <v>1</v>
      </c>
      <c r="E32" s="57">
        <v>0</v>
      </c>
      <c r="F32" s="57">
        <v>1</v>
      </c>
      <c r="G32" s="57">
        <v>1</v>
      </c>
      <c r="H32" s="57">
        <v>1</v>
      </c>
      <c r="I32" s="64" t="s">
        <v>125</v>
      </c>
      <c r="J32" s="85"/>
      <c r="K32" s="57"/>
      <c r="L32" s="38" t="e">
        <f t="array" ref="L32:M32">cgIntLbyCooAndDs(A32,B32,C32,D32,E32,F32,G32,H32)</f>
        <v>#N/A</v>
      </c>
      <c r="M32" s="39" t="e">
        <v>#N/A</v>
      </c>
    </row>
    <row r="33" spans="1:13" x14ac:dyDescent="0.25">
      <c r="A33" s="47" t="s">
        <v>91</v>
      </c>
      <c r="B33" s="48" t="s">
        <v>92</v>
      </c>
      <c r="C33" s="48" t="s">
        <v>93</v>
      </c>
      <c r="D33" s="48" t="s">
        <v>94</v>
      </c>
      <c r="E33" s="48" t="s">
        <v>9</v>
      </c>
      <c r="F33" s="69" t="s">
        <v>126</v>
      </c>
      <c r="G33" s="47"/>
      <c r="H33" s="49"/>
      <c r="I33" s="62"/>
      <c r="J33" s="59"/>
      <c r="K33" s="53"/>
      <c r="L33" s="53"/>
      <c r="M33" s="54"/>
    </row>
    <row r="34" spans="1:13" x14ac:dyDescent="0.25">
      <c r="A34" s="81">
        <v>0</v>
      </c>
      <c r="B34" s="56">
        <v>0</v>
      </c>
      <c r="C34" s="56">
        <v>2</v>
      </c>
      <c r="D34" s="56">
        <v>0</v>
      </c>
      <c r="E34" s="56">
        <v>1</v>
      </c>
      <c r="F34" s="75">
        <v>1</v>
      </c>
      <c r="G34" s="35"/>
      <c r="H34" s="35"/>
      <c r="I34" s="63" t="s">
        <v>127</v>
      </c>
      <c r="J34" s="35">
        <f t="array" ref="J34:M34">cgExtTrimLS(A34,B34,C34,D34,E34,F34)</f>
        <v>0</v>
      </c>
      <c r="K34" s="35">
        <v>0</v>
      </c>
      <c r="L34" s="35">
        <v>3</v>
      </c>
      <c r="M34" s="36">
        <v>0</v>
      </c>
    </row>
    <row r="35" spans="1:13" x14ac:dyDescent="0.25">
      <c r="A35" s="83">
        <v>0</v>
      </c>
      <c r="B35" s="55">
        <v>0</v>
      </c>
      <c r="C35" s="55">
        <v>2</v>
      </c>
      <c r="D35" s="55">
        <v>0</v>
      </c>
      <c r="E35" s="55">
        <v>-1</v>
      </c>
      <c r="F35" s="78">
        <v>1</v>
      </c>
      <c r="G35" s="35"/>
      <c r="H35" s="35"/>
      <c r="I35" s="63" t="s">
        <v>128</v>
      </c>
      <c r="J35" s="35">
        <f t="array" ref="J35:M35">cgExtTrimLS(A35,B35,C35,D35,E35,F35)</f>
        <v>0</v>
      </c>
      <c r="K35" s="35">
        <v>0</v>
      </c>
      <c r="L35" s="35">
        <v>1</v>
      </c>
      <c r="M35" s="36">
        <v>0</v>
      </c>
    </row>
    <row r="36" spans="1:13" x14ac:dyDescent="0.25">
      <c r="A36" s="83">
        <v>0</v>
      </c>
      <c r="B36" s="55">
        <v>0</v>
      </c>
      <c r="C36" s="55">
        <v>2</v>
      </c>
      <c r="D36" s="55">
        <v>0</v>
      </c>
      <c r="E36" s="55">
        <v>1</v>
      </c>
      <c r="F36" s="78">
        <v>-1</v>
      </c>
      <c r="G36" s="35"/>
      <c r="H36" s="35"/>
      <c r="I36" s="63" t="s">
        <v>129</v>
      </c>
      <c r="J36" s="35">
        <f t="array" ref="J36:M36">cgExtTrimLS(A36,B36,C36,D36,E36,F36)</f>
        <v>-1</v>
      </c>
      <c r="K36" s="35">
        <v>0</v>
      </c>
      <c r="L36" s="35">
        <v>2</v>
      </c>
      <c r="M36" s="36">
        <v>0</v>
      </c>
    </row>
    <row r="37" spans="1:13" x14ac:dyDescent="0.25">
      <c r="A37" s="83">
        <v>0</v>
      </c>
      <c r="B37" s="55">
        <v>0</v>
      </c>
      <c r="C37" s="55">
        <v>2</v>
      </c>
      <c r="D37" s="55">
        <v>0</v>
      </c>
      <c r="E37" s="55">
        <v>-1</v>
      </c>
      <c r="F37" s="78">
        <v>-1</v>
      </c>
      <c r="G37" s="35"/>
      <c r="H37" s="35"/>
      <c r="I37" s="63" t="s">
        <v>130</v>
      </c>
      <c r="J37" s="35">
        <f t="array" ref="J37:M37">cgExtTrimLS(A37,B37,C37,D37,E37,F37)</f>
        <v>1</v>
      </c>
      <c r="K37" s="35">
        <v>0</v>
      </c>
      <c r="L37" s="35">
        <v>2</v>
      </c>
      <c r="M37" s="36">
        <v>0</v>
      </c>
    </row>
    <row r="38" spans="1:13" x14ac:dyDescent="0.25">
      <c r="A38" s="83">
        <v>0</v>
      </c>
      <c r="B38" s="55">
        <v>0</v>
      </c>
      <c r="C38" s="55">
        <v>2</v>
      </c>
      <c r="D38" s="55">
        <v>0</v>
      </c>
      <c r="E38" s="55">
        <v>1</v>
      </c>
      <c r="F38" s="78">
        <v>0</v>
      </c>
      <c r="G38" s="35"/>
      <c r="H38" s="35"/>
      <c r="I38" s="63" t="s">
        <v>131</v>
      </c>
      <c r="J38" s="35">
        <f t="array" ref="J38:M38">cgExtTrimLS(A38,B38,C38,D38,E38,F38)</f>
        <v>-1</v>
      </c>
      <c r="K38" s="35">
        <v>0</v>
      </c>
      <c r="L38" s="35">
        <v>3</v>
      </c>
      <c r="M38" s="36">
        <v>0</v>
      </c>
    </row>
    <row r="39" spans="1:13" x14ac:dyDescent="0.25">
      <c r="A39" s="85">
        <v>0</v>
      </c>
      <c r="B39" s="57">
        <v>0</v>
      </c>
      <c r="C39" s="57">
        <v>4</v>
      </c>
      <c r="D39" s="57">
        <v>0</v>
      </c>
      <c r="E39" s="57">
        <v>-1</v>
      </c>
      <c r="F39" s="79">
        <v>0</v>
      </c>
      <c r="G39" s="38"/>
      <c r="H39" s="38"/>
      <c r="I39" s="64" t="s">
        <v>132</v>
      </c>
      <c r="J39" s="38">
        <f t="array" ref="J39:M39">cgExtTrimLS(A39,B39,C39,D39,E39,F39)</f>
        <v>1</v>
      </c>
      <c r="K39" s="38">
        <v>0</v>
      </c>
      <c r="L39" s="38">
        <v>3</v>
      </c>
      <c r="M39" s="39">
        <v>0</v>
      </c>
    </row>
    <row r="40" spans="1:13" x14ac:dyDescent="0.25">
      <c r="A40" s="47" t="s">
        <v>91</v>
      </c>
      <c r="B40" s="48" t="s">
        <v>92</v>
      </c>
      <c r="C40" s="48" t="s">
        <v>93</v>
      </c>
      <c r="D40" s="48" t="s">
        <v>94</v>
      </c>
      <c r="E40" s="49" t="s">
        <v>51</v>
      </c>
      <c r="F40" s="84"/>
      <c r="G40" s="48"/>
      <c r="H40" s="49"/>
      <c r="I40" s="62"/>
      <c r="J40" s="59"/>
      <c r="K40" s="53"/>
      <c r="L40" s="53"/>
      <c r="M40" s="54"/>
    </row>
    <row r="41" spans="1:13" x14ac:dyDescent="0.25">
      <c r="A41" s="83">
        <v>0</v>
      </c>
      <c r="B41" s="55">
        <v>0</v>
      </c>
      <c r="C41" s="55">
        <v>2</v>
      </c>
      <c r="D41" s="55">
        <v>0</v>
      </c>
      <c r="E41" s="78">
        <v>1</v>
      </c>
      <c r="F41" s="83"/>
      <c r="G41" s="35"/>
      <c r="H41" s="35"/>
      <c r="I41" s="63" t="s">
        <v>133</v>
      </c>
      <c r="J41" s="35">
        <f t="array" ref="J41:M41">cgOffsetLS(A41,B41,C41,D41,E41)</f>
        <v>0</v>
      </c>
      <c r="K41" s="35">
        <v>-1</v>
      </c>
      <c r="L41" s="35">
        <v>2</v>
      </c>
      <c r="M41" s="36">
        <v>-1</v>
      </c>
    </row>
    <row r="42" spans="1:13" x14ac:dyDescent="0.25">
      <c r="A42" s="85">
        <v>0</v>
      </c>
      <c r="B42" s="57">
        <v>0</v>
      </c>
      <c r="C42" s="57">
        <v>2</v>
      </c>
      <c r="D42" s="57">
        <v>0</v>
      </c>
      <c r="E42" s="79">
        <v>-1</v>
      </c>
      <c r="F42" s="55"/>
      <c r="G42" s="35"/>
      <c r="H42" s="35"/>
      <c r="I42" s="63" t="s">
        <v>134</v>
      </c>
      <c r="J42" s="35">
        <f t="array" ref="J42:M42">cgOffsetLS(A42,B42,C42,D42,E42)</f>
        <v>0</v>
      </c>
      <c r="K42" s="35">
        <v>1</v>
      </c>
      <c r="L42" s="35">
        <v>2</v>
      </c>
      <c r="M42" s="36">
        <v>1</v>
      </c>
    </row>
    <row r="43" spans="1:13" x14ac:dyDescent="0.25">
      <c r="A43" s="47" t="s">
        <v>58</v>
      </c>
      <c r="B43" s="49" t="s">
        <v>59</v>
      </c>
      <c r="C43" s="48"/>
      <c r="D43" s="48"/>
      <c r="E43" s="48"/>
      <c r="F43" s="69"/>
      <c r="G43" s="69"/>
      <c r="H43" s="70"/>
      <c r="I43" s="62"/>
      <c r="J43" s="59"/>
      <c r="K43" s="53"/>
      <c r="L43" s="53"/>
      <c r="M43" s="54"/>
    </row>
    <row r="44" spans="1:13" x14ac:dyDescent="0.25">
      <c r="A44" s="81">
        <v>0</v>
      </c>
      <c r="B44" s="75">
        <v>0</v>
      </c>
      <c r="C44" s="56"/>
      <c r="D44" s="56"/>
      <c r="E44" s="56"/>
      <c r="F44" s="56"/>
      <c r="G44" s="43"/>
      <c r="H44" s="45"/>
      <c r="I44" s="87" t="s">
        <v>135</v>
      </c>
      <c r="J44" s="43"/>
      <c r="K44" s="43"/>
      <c r="L44" s="43"/>
      <c r="M44" s="45">
        <f>cgAreaByCoo(A44:B46)</f>
        <v>1</v>
      </c>
    </row>
    <row r="45" spans="1:13" x14ac:dyDescent="0.25">
      <c r="A45" s="34">
        <v>0</v>
      </c>
      <c r="B45" s="36">
        <v>2</v>
      </c>
      <c r="C45" s="35"/>
      <c r="D45" s="35"/>
      <c r="E45" s="35"/>
      <c r="F45" s="35"/>
      <c r="G45" s="35"/>
      <c r="H45" s="36"/>
      <c r="I45" s="40"/>
      <c r="J45" s="35"/>
      <c r="K45" s="35"/>
      <c r="L45" s="35"/>
      <c r="M45" s="36"/>
    </row>
    <row r="46" spans="1:13" x14ac:dyDescent="0.25">
      <c r="A46" s="37">
        <v>1</v>
      </c>
      <c r="B46" s="39">
        <v>1</v>
      </c>
      <c r="C46" s="38"/>
      <c r="D46" s="38"/>
      <c r="E46" s="38"/>
      <c r="F46" s="38"/>
      <c r="G46" s="38"/>
      <c r="H46" s="39"/>
      <c r="I46" s="41"/>
      <c r="J46" s="38"/>
      <c r="K46" s="38"/>
      <c r="L46" s="38"/>
      <c r="M46" s="39"/>
    </row>
    <row r="47" spans="1:13" x14ac:dyDescent="0.25">
      <c r="A47" s="47" t="s">
        <v>91</v>
      </c>
      <c r="B47" s="48" t="s">
        <v>92</v>
      </c>
      <c r="C47" s="48" t="s">
        <v>93</v>
      </c>
      <c r="D47" s="49" t="s">
        <v>94</v>
      </c>
      <c r="E47" s="48"/>
      <c r="F47" s="69"/>
      <c r="G47" s="48"/>
      <c r="H47" s="48"/>
      <c r="I47" s="62"/>
      <c r="J47" s="53"/>
      <c r="K47" s="53"/>
      <c r="L47" s="53"/>
      <c r="M47" s="54"/>
    </row>
    <row r="48" spans="1:13" x14ac:dyDescent="0.25">
      <c r="A48" s="81">
        <v>0</v>
      </c>
      <c r="B48" s="56">
        <v>0</v>
      </c>
      <c r="C48" s="43">
        <v>0</v>
      </c>
      <c r="D48" s="45">
        <v>2</v>
      </c>
      <c r="E48" s="43"/>
      <c r="F48" s="43"/>
      <c r="G48" s="43"/>
      <c r="H48" s="43"/>
      <c r="I48" s="87" t="s">
        <v>136</v>
      </c>
      <c r="J48" s="43"/>
      <c r="K48" s="43"/>
      <c r="L48" s="43">
        <f t="array" ref="L48:M49">cgIntPLbyCoo(A48:B51,C48:D51)</f>
        <v>1</v>
      </c>
      <c r="M48" s="45">
        <v>1</v>
      </c>
    </row>
    <row r="49" spans="1:13" x14ac:dyDescent="0.25">
      <c r="A49" s="83">
        <v>2</v>
      </c>
      <c r="B49" s="55">
        <v>2</v>
      </c>
      <c r="C49" s="35">
        <v>2</v>
      </c>
      <c r="D49" s="36">
        <v>0</v>
      </c>
      <c r="E49" s="35"/>
      <c r="F49" s="35"/>
      <c r="G49" s="35"/>
      <c r="H49" s="35"/>
      <c r="I49" s="40"/>
      <c r="J49" s="35"/>
      <c r="K49" s="35"/>
      <c r="L49" s="35">
        <v>5</v>
      </c>
      <c r="M49" s="36">
        <v>1</v>
      </c>
    </row>
    <row r="50" spans="1:13" x14ac:dyDescent="0.25">
      <c r="A50" s="83">
        <v>4</v>
      </c>
      <c r="B50" s="55">
        <v>2</v>
      </c>
      <c r="C50" s="35">
        <v>4</v>
      </c>
      <c r="D50" s="36">
        <v>0</v>
      </c>
      <c r="E50" s="35"/>
      <c r="F50" s="35"/>
      <c r="G50" s="35"/>
      <c r="H50" s="35"/>
      <c r="I50" s="40"/>
      <c r="J50" s="35"/>
      <c r="K50" s="35"/>
      <c r="L50" s="35"/>
      <c r="M50" s="36"/>
    </row>
    <row r="51" spans="1:13" x14ac:dyDescent="0.25">
      <c r="A51" s="85">
        <v>6</v>
      </c>
      <c r="B51" s="57">
        <v>0</v>
      </c>
      <c r="C51" s="38">
        <v>6</v>
      </c>
      <c r="D51" s="39">
        <v>2</v>
      </c>
      <c r="E51" s="38"/>
      <c r="F51" s="38"/>
      <c r="G51" s="38"/>
      <c r="H51" s="38"/>
      <c r="I51" s="41"/>
      <c r="J51" s="38"/>
      <c r="K51" s="38"/>
      <c r="L51" s="38"/>
      <c r="M51" s="39"/>
    </row>
  </sheetData>
  <mergeCells count="1">
    <mergeCell ref="J3:M3"/>
  </mergeCells>
  <phoneticPr fontId="8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1A67-AF16-40CA-BBC0-226DFB7AF3FC}">
  <sheetPr codeName="Sheet3"/>
  <dimension ref="A1:I26"/>
  <sheetViews>
    <sheetView workbookViewId="0">
      <selection activeCell="F35" sqref="F35"/>
    </sheetView>
  </sheetViews>
  <sheetFormatPr defaultRowHeight="15" x14ac:dyDescent="0.25"/>
  <cols>
    <col min="1" max="3" width="9.42578125" customWidth="1"/>
    <col min="8" max="8" width="36.85546875" customWidth="1"/>
    <col min="9" max="9" width="56.7109375" customWidth="1"/>
  </cols>
  <sheetData>
    <row r="1" spans="1:9" x14ac:dyDescent="0.25">
      <c r="A1" s="16" t="s">
        <v>60</v>
      </c>
    </row>
    <row r="3" spans="1:9" ht="15.75" x14ac:dyDescent="0.25">
      <c r="A3" s="66" t="s">
        <v>50</v>
      </c>
      <c r="B3" s="46"/>
      <c r="C3" s="46"/>
      <c r="D3" s="46"/>
      <c r="E3" s="46"/>
      <c r="F3" s="46"/>
      <c r="G3" s="46"/>
      <c r="H3" s="65" t="s">
        <v>61</v>
      </c>
      <c r="I3" s="42" t="s">
        <v>52</v>
      </c>
    </row>
    <row r="4" spans="1:9" ht="15" customHeight="1" x14ac:dyDescent="0.25">
      <c r="A4" s="47" t="s">
        <v>58</v>
      </c>
      <c r="B4" s="48" t="s">
        <v>59</v>
      </c>
      <c r="C4" s="49" t="s">
        <v>62</v>
      </c>
      <c r="D4" s="47"/>
      <c r="E4" s="48"/>
      <c r="F4" s="48"/>
      <c r="G4" s="49"/>
      <c r="H4" s="67"/>
      <c r="I4" s="68"/>
    </row>
    <row r="5" spans="1:9" x14ac:dyDescent="0.25">
      <c r="A5" s="44">
        <v>10</v>
      </c>
      <c r="B5" s="43">
        <v>20</v>
      </c>
      <c r="C5" s="45">
        <v>30</v>
      </c>
      <c r="D5" s="35"/>
      <c r="E5" s="35"/>
      <c r="F5" s="35"/>
      <c r="G5" s="36"/>
      <c r="H5" s="40" t="s">
        <v>63</v>
      </c>
      <c r="I5" s="36" t="str">
        <f>acadScrPnt(A5:B8)</f>
        <v xml:space="preserve">point 10,20_x000D_
point 11,21_x000D_
point 12,22_x000D_
point 13,23_x000D_
</v>
      </c>
    </row>
    <row r="6" spans="1:9" x14ac:dyDescent="0.25">
      <c r="A6" s="34">
        <v>11</v>
      </c>
      <c r="B6" s="35">
        <v>21</v>
      </c>
      <c r="C6" s="36">
        <v>31</v>
      </c>
      <c r="D6" s="35"/>
      <c r="E6" s="35"/>
      <c r="F6" s="35"/>
      <c r="G6" s="36"/>
      <c r="H6" s="40" t="s">
        <v>64</v>
      </c>
      <c r="I6" s="36" t="str">
        <f>acadScrPnt(A5:C8)</f>
        <v xml:space="preserve">point 10,20,30_x000D_
point 11,21,31_x000D_
point 12,22,32_x000D_
point 13,23,33_x000D_
</v>
      </c>
    </row>
    <row r="7" spans="1:9" x14ac:dyDescent="0.25">
      <c r="A7" s="34">
        <v>12</v>
      </c>
      <c r="B7" s="35">
        <v>22</v>
      </c>
      <c r="C7" s="36">
        <v>32</v>
      </c>
      <c r="D7" s="35"/>
      <c r="E7" s="35"/>
      <c r="F7" s="35"/>
      <c r="G7" s="36"/>
      <c r="H7" s="40" t="s">
        <v>65</v>
      </c>
      <c r="I7" s="36" t="str">
        <f t="array" ref="I7">acadScrPnt(A5:B8+1)</f>
        <v xml:space="preserve">point 11,21_x000D_
point 12,22_x000D_
point 13,23_x000D_
point 14,24_x000D_
</v>
      </c>
    </row>
    <row r="8" spans="1:9" x14ac:dyDescent="0.25">
      <c r="A8" s="37">
        <v>13</v>
      </c>
      <c r="B8" s="38">
        <v>23</v>
      </c>
      <c r="C8" s="39">
        <v>33</v>
      </c>
      <c r="D8" s="35"/>
      <c r="E8" s="35"/>
      <c r="F8" s="35"/>
      <c r="G8" s="36"/>
      <c r="H8" s="41" t="s">
        <v>66</v>
      </c>
      <c r="I8" s="39" t="str">
        <f t="array" ref="I8">acadScrPnt(A5:C8+1)</f>
        <v xml:space="preserve">point 11,21,31_x000D_
point 12,22,32_x000D_
point 13,23,33_x000D_
point 14,24,34_x000D_
</v>
      </c>
    </row>
    <row r="9" spans="1:9" x14ac:dyDescent="0.25">
      <c r="A9" s="34">
        <v>10</v>
      </c>
      <c r="B9" s="35">
        <v>20</v>
      </c>
      <c r="C9" s="35">
        <v>30</v>
      </c>
      <c r="D9" s="44"/>
      <c r="E9" s="43"/>
      <c r="F9" s="43"/>
      <c r="G9" s="45"/>
      <c r="H9" s="61" t="s">
        <v>77</v>
      </c>
      <c r="I9" s="45" t="str">
        <f>acadScrPline($A$9:$B$12)</f>
        <v xml:space="preserve">pline 10,20_x000D_
11,21_x000D_
12,22_x000D_
13,23_x000D_
</v>
      </c>
    </row>
    <row r="10" spans="1:9" x14ac:dyDescent="0.25">
      <c r="A10" s="34">
        <v>11</v>
      </c>
      <c r="B10" s="35">
        <v>21</v>
      </c>
      <c r="C10" s="35">
        <v>31</v>
      </c>
      <c r="D10" s="34"/>
      <c r="E10" s="35"/>
      <c r="F10" s="35"/>
      <c r="G10" s="36"/>
      <c r="H10" s="40" t="s">
        <v>78</v>
      </c>
      <c r="I10" s="36" t="str">
        <f>acadScrPline($A$9:$C$12)</f>
        <v xml:space="preserve">3dpoly 10,20,30_x000D_
11,21,31_x000D_
12,22,32_x000D_
13,23,33_x000D_
</v>
      </c>
    </row>
    <row r="11" spans="1:9" x14ac:dyDescent="0.25">
      <c r="A11" s="34">
        <v>12</v>
      </c>
      <c r="B11" s="35">
        <v>22</v>
      </c>
      <c r="C11" s="35">
        <v>32</v>
      </c>
      <c r="D11" s="34"/>
      <c r="E11" s="35"/>
      <c r="F11" s="35"/>
      <c r="G11" s="36"/>
      <c r="H11" s="40" t="s">
        <v>79</v>
      </c>
      <c r="I11" s="36" t="str">
        <f t="array" ref="I11">acadScrPline($A$9:$B$12+1)</f>
        <v xml:space="preserve">pline 11,21_x000D_
12,22_x000D_
13,23_x000D_
14,24_x000D_
</v>
      </c>
    </row>
    <row r="12" spans="1:9" x14ac:dyDescent="0.25">
      <c r="A12" s="37">
        <v>13</v>
      </c>
      <c r="B12" s="38">
        <v>23</v>
      </c>
      <c r="C12" s="38">
        <v>33</v>
      </c>
      <c r="D12" s="37"/>
      <c r="E12" s="38"/>
      <c r="F12" s="38"/>
      <c r="G12" s="39"/>
      <c r="H12" s="41" t="s">
        <v>80</v>
      </c>
      <c r="I12" s="39" t="str">
        <f t="array" ref="I12">acadScrPline($A$9:$C$12+1)</f>
        <v xml:space="preserve">3dpoly 11,21,31_x000D_
12,22,32_x000D_
13,23,33_x000D_
14,24,34_x000D_
</v>
      </c>
    </row>
    <row r="13" spans="1:9" ht="30" x14ac:dyDescent="0.25">
      <c r="A13" s="50" t="s">
        <v>67</v>
      </c>
      <c r="B13" s="52" t="s">
        <v>58</v>
      </c>
      <c r="C13" s="52" t="s">
        <v>59</v>
      </c>
      <c r="D13" s="52" t="s">
        <v>69</v>
      </c>
      <c r="E13" s="52" t="s">
        <v>70</v>
      </c>
      <c r="F13" s="52" t="s">
        <v>71</v>
      </c>
      <c r="G13" s="51"/>
      <c r="H13" s="62"/>
      <c r="I13" s="54"/>
    </row>
    <row r="14" spans="1:9" x14ac:dyDescent="0.25">
      <c r="A14" s="44" t="s">
        <v>68</v>
      </c>
      <c r="B14" s="56">
        <v>10</v>
      </c>
      <c r="C14" s="43">
        <v>20</v>
      </c>
      <c r="D14" s="43">
        <v>1</v>
      </c>
      <c r="E14" s="43">
        <v>1</v>
      </c>
      <c r="F14" s="45">
        <v>0</v>
      </c>
      <c r="G14" s="45"/>
      <c r="H14" s="63" t="s">
        <v>73</v>
      </c>
      <c r="I14" s="36" t="str">
        <f>acadScrInsBl(A14:F14)</f>
        <v>-insert BlockA_x000D_
10,20_x000D_
1_x000D_
1_x000D_
0</v>
      </c>
    </row>
    <row r="15" spans="1:9" x14ac:dyDescent="0.25">
      <c r="A15" s="37" t="s">
        <v>72</v>
      </c>
      <c r="B15" s="57">
        <v>30</v>
      </c>
      <c r="C15" s="38">
        <v>40</v>
      </c>
      <c r="D15" s="38">
        <v>1</v>
      </c>
      <c r="E15" s="38">
        <v>1</v>
      </c>
      <c r="F15" s="39">
        <v>0</v>
      </c>
      <c r="G15" s="39"/>
      <c r="H15" s="63" t="s">
        <v>74</v>
      </c>
      <c r="I15" s="36" t="str">
        <f>acadScrInsBl(A14:F15)</f>
        <v>-insert BlockA_x000D_
10,20_x000D_
1_x000D_
1_x000D_
0_x000D_
-insert BlockB_x000D_
30,40_x000D_
1_x000D_
1_x000D_
0</v>
      </c>
    </row>
    <row r="16" spans="1:9" ht="30" x14ac:dyDescent="0.25">
      <c r="A16" s="50" t="s">
        <v>67</v>
      </c>
      <c r="B16" s="52" t="s">
        <v>58</v>
      </c>
      <c r="C16" s="52" t="s">
        <v>59</v>
      </c>
      <c r="D16" s="52" t="s">
        <v>62</v>
      </c>
      <c r="E16" s="52" t="s">
        <v>69</v>
      </c>
      <c r="F16" s="52" t="s">
        <v>70</v>
      </c>
      <c r="G16" s="51" t="s">
        <v>71</v>
      </c>
      <c r="H16" s="62"/>
      <c r="I16" s="54"/>
    </row>
    <row r="17" spans="1:9" x14ac:dyDescent="0.25">
      <c r="A17" s="44" t="s">
        <v>68</v>
      </c>
      <c r="B17" s="56">
        <v>10</v>
      </c>
      <c r="C17" s="43">
        <v>20</v>
      </c>
      <c r="D17" s="43">
        <v>30</v>
      </c>
      <c r="E17" s="43">
        <v>1</v>
      </c>
      <c r="F17" s="43">
        <v>1</v>
      </c>
      <c r="G17" s="45">
        <v>0</v>
      </c>
      <c r="H17" s="61" t="s">
        <v>76</v>
      </c>
      <c r="I17" s="45" t="str">
        <f>acadScrInsBl(A17:G17)</f>
        <v>-insert BlockA_x000D_
10,20,30_x000D_
1_x000D_
1_x000D_
0</v>
      </c>
    </row>
    <row r="18" spans="1:9" x14ac:dyDescent="0.25">
      <c r="A18" s="37" t="s">
        <v>72</v>
      </c>
      <c r="B18" s="57">
        <v>40</v>
      </c>
      <c r="C18" s="38">
        <v>50</v>
      </c>
      <c r="D18" s="38">
        <v>60</v>
      </c>
      <c r="E18" s="38">
        <v>1</v>
      </c>
      <c r="F18" s="38">
        <v>1</v>
      </c>
      <c r="G18" s="39">
        <v>0</v>
      </c>
      <c r="H18" s="64" t="s">
        <v>75</v>
      </c>
      <c r="I18" s="39" t="str">
        <f>acadScrInsBl(A17:G18)</f>
        <v>-insert BlockA_x000D_
10,20,30_x000D_
1_x000D_
1_x000D_
0_x000D_
-insert BlockB_x000D_
40,50,60_x000D_
1_x000D_
1_x000D_
0</v>
      </c>
    </row>
    <row r="19" spans="1:9" x14ac:dyDescent="0.25">
      <c r="A19" s="50" t="s">
        <v>58</v>
      </c>
      <c r="B19" s="52" t="s">
        <v>59</v>
      </c>
      <c r="C19" s="58" t="s">
        <v>81</v>
      </c>
      <c r="D19" s="58" t="s">
        <v>71</v>
      </c>
      <c r="E19" s="58" t="s">
        <v>82</v>
      </c>
      <c r="F19" s="58"/>
      <c r="G19" s="54"/>
      <c r="H19" s="62"/>
      <c r="I19" s="54"/>
    </row>
    <row r="20" spans="1:9" x14ac:dyDescent="0.25">
      <c r="A20" s="34">
        <v>10</v>
      </c>
      <c r="B20" s="55">
        <v>20</v>
      </c>
      <c r="C20" s="55">
        <v>1</v>
      </c>
      <c r="D20" s="55">
        <v>0</v>
      </c>
      <c r="E20" s="35" t="s">
        <v>83</v>
      </c>
      <c r="F20" s="35"/>
      <c r="G20" s="36"/>
      <c r="H20" s="40" t="s">
        <v>84</v>
      </c>
      <c r="I20" s="36" t="str">
        <f>acadScrSText(A20:E20)</f>
        <v>-text 10,20 1 0 Sample</v>
      </c>
    </row>
    <row r="21" spans="1:9" x14ac:dyDescent="0.25">
      <c r="A21" s="37">
        <v>40</v>
      </c>
      <c r="B21" s="57">
        <v>50</v>
      </c>
      <c r="C21" s="57">
        <v>1</v>
      </c>
      <c r="D21" s="57">
        <v>0</v>
      </c>
      <c r="E21" s="38" t="s">
        <v>83</v>
      </c>
      <c r="F21" s="38"/>
      <c r="G21" s="39"/>
      <c r="H21" s="41" t="s">
        <v>85</v>
      </c>
      <c r="I21" s="39" t="str">
        <f>acadScrSText(A20:E21)</f>
        <v>-text 10,20 1 0 Sample_x000D_
-text 40,50 1 0 Sample</v>
      </c>
    </row>
    <row r="22" spans="1:9" x14ac:dyDescent="0.25">
      <c r="A22" s="50" t="s">
        <v>58</v>
      </c>
      <c r="B22" s="52" t="s">
        <v>59</v>
      </c>
      <c r="C22" s="52" t="s">
        <v>62</v>
      </c>
      <c r="D22" s="58" t="s">
        <v>81</v>
      </c>
      <c r="E22" s="58" t="s">
        <v>71</v>
      </c>
      <c r="F22" s="58" t="s">
        <v>82</v>
      </c>
      <c r="G22" s="60"/>
      <c r="H22" s="62"/>
      <c r="I22" s="54"/>
    </row>
    <row r="23" spans="1:9" x14ac:dyDescent="0.25">
      <c r="A23" s="34">
        <v>10</v>
      </c>
      <c r="B23" s="55">
        <v>20</v>
      </c>
      <c r="C23" s="55">
        <v>30</v>
      </c>
      <c r="D23" s="55">
        <v>1</v>
      </c>
      <c r="E23" s="55">
        <v>0</v>
      </c>
      <c r="F23" s="35" t="s">
        <v>83</v>
      </c>
      <c r="G23" s="36"/>
      <c r="H23" s="40" t="s">
        <v>86</v>
      </c>
      <c r="I23" s="36" t="str">
        <f>acadScrSText(A23:F23)</f>
        <v>-text 10,20,30 1 0 Sample</v>
      </c>
    </row>
    <row r="24" spans="1:9" x14ac:dyDescent="0.25">
      <c r="A24" s="37">
        <v>40</v>
      </c>
      <c r="B24" s="57">
        <v>50</v>
      </c>
      <c r="C24" s="57">
        <v>60</v>
      </c>
      <c r="D24" s="57">
        <v>1</v>
      </c>
      <c r="E24" s="57">
        <v>0</v>
      </c>
      <c r="F24" s="38" t="s">
        <v>83</v>
      </c>
      <c r="G24" s="39"/>
      <c r="H24" s="41" t="s">
        <v>87</v>
      </c>
      <c r="I24" s="39" t="str">
        <f>acadScrSText(A23:F24)</f>
        <v>-text 10,20,30 1 0 Sample_x000D_
-text 40,50,60 1 0 Sample</v>
      </c>
    </row>
    <row r="25" spans="1:9" ht="30" x14ac:dyDescent="0.25">
      <c r="A25" s="50" t="s">
        <v>88</v>
      </c>
      <c r="B25" s="52"/>
      <c r="C25" s="52"/>
      <c r="D25" s="58"/>
      <c r="E25" s="58"/>
      <c r="F25" s="58"/>
      <c r="G25" s="60"/>
      <c r="H25" s="62"/>
      <c r="I25" s="54"/>
    </row>
    <row r="26" spans="1:9" x14ac:dyDescent="0.25">
      <c r="A26" s="59" t="s">
        <v>89</v>
      </c>
      <c r="B26" s="53"/>
      <c r="C26" s="53"/>
      <c r="D26" s="53"/>
      <c r="E26" s="53"/>
      <c r="F26" s="53"/>
      <c r="G26" s="54"/>
      <c r="H26" s="62"/>
      <c r="I26" s="54" t="str">
        <f>acadScrChngLyr(A26)</f>
        <v xml:space="preserve">-layer m test_layer_x000D_
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dvCLtbl</vt:lpstr>
      <vt:lpstr>demo_tblCL</vt:lpstr>
      <vt:lpstr>demo_UDF_CL</vt:lpstr>
      <vt:lpstr>demo_UDF_CG</vt:lpstr>
      <vt:lpstr>demo_UDF_ACADscr</vt:lpstr>
      <vt:lpstr>demo_UDF_CG!DefiningElementsShort</vt:lpstr>
      <vt:lpstr>DefiningElementsShort</vt:lpstr>
      <vt:lpstr>demo_UDF_CG!dvCurveDir</vt:lpstr>
      <vt:lpstr>dvCurveDir</vt:lpstr>
      <vt:lpstr>demo_UDF_CG!dvElemType</vt:lpstr>
      <vt:lpstr>dvElemType</vt:lpstr>
      <vt:lpstr>demo_UDF_CG!dvReversed</vt:lpstr>
      <vt:lpstr>dvReversed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Bogdan Morosanu</dc:creator>
  <cp:lastModifiedBy>Buse, Cristian @ London HH</cp:lastModifiedBy>
  <dcterms:created xsi:type="dcterms:W3CDTF">2019-01-27T20:28:01Z</dcterms:created>
  <dcterms:modified xsi:type="dcterms:W3CDTF">2021-08-11T14:36:34Z</dcterms:modified>
</cp:coreProperties>
</file>